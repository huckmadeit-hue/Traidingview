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Vehicles" sheetId="2" state="visible" r:id="rId4"/>
    <sheet name="Trips" sheetId="3" state="visible" r:id="rId5"/>
    <sheet name="Expenses" sheetId="4" state="visible" r:id="rId6"/>
    <sheet name="Charging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Example rows shown in pale yellow — edit these two rows with your real vehicles, or add more rows for a larger fleet.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booking. Paste Turo trip-history export here, or enter manually.
Guest Trip Price = optional (what the guest paid). Host Net Earnings = required (what you actually received) — this is the revenue figure everything else is based on.
Trip Days, Turo Fee, and Month are formulas — fill them down after adding a row.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expense transaction. Category feeds the fixed vs. variable cost split on the Summary tab — use the dropdown so spelling matches exactly.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One row per charging session. Home charging: estimate cost from your electricity rate x kWh added. This is what drives true energy cost per mile.</t>
        </r>
      </text>
    </comment>
  </commentList>
</comments>
</file>

<file path=xl/sharedStrings.xml><?xml version="1.0" encoding="utf-8"?>
<sst xmlns="http://schemas.openxmlformats.org/spreadsheetml/2006/main" count="156" uniqueCount="134">
  <si>
    <t xml:space="preserve">Turo Fleet Command Center</t>
  </si>
  <si>
    <t xml:space="preserve">Profitability tracker for your Tesla Model Y fleet on the Turo app</t>
  </si>
  <si>
    <t xml:space="preserve">HOW THIS WORKBOOK WORKS</t>
  </si>
  <si>
    <t xml:space="preserve">1. Vehicles tab</t>
  </si>
  <si>
    <t xml:space="preserve">One row per car with fixed info (purchase price, financing, insurance, renewal dates). Update odometer/maintenance fields periodically.</t>
  </si>
  <si>
    <t xml:space="preserve">2. Trips tab</t>
  </si>
  <si>
    <t xml:space="preserve">Log every booking. Fastest way: export your trip history / payout history from the Turo app and paste the values into the blue-font columns (Trip ID, Vehicle, dates, earnings, miles).</t>
  </si>
  <si>
    <t xml:space="preserve">3. Expenses tab</t>
  </si>
  <si>
    <t xml:space="preserve">Log every cost as it happens: loan/lease payments, insurance, maintenance, tires, cleaning, registration, subscriptions, damage claims, misc.</t>
  </si>
  <si>
    <t xml:space="preserve">4. Charging tab</t>
  </si>
  <si>
    <t xml:space="preserve">Log charging sessions (home electricity or public/Supercharger). This is what feeds true cost-per-mile.</t>
  </si>
  <si>
    <t xml:space="preserve">5. Summary tab</t>
  </si>
  <si>
    <t xml:space="preserve">Everything else is computed automatically with formulas — don't type numbers there. This is your profitability command center: per-car and fleet-wide.</t>
  </si>
  <si>
    <t xml:space="preserve">KEEPING THE DASHBOARD UPDATED</t>
  </si>
  <si>
    <t xml:space="preserve">Weekly</t>
  </si>
  <si>
    <t xml:space="preserve">Add new trips + any new expenses/charging sessions.</t>
  </si>
  <si>
    <t xml:space="preserve">Monthly</t>
  </si>
  <si>
    <t xml:space="preserve">Reconcile against your Turo payout statements and bank/credit card statement.</t>
  </si>
  <si>
    <t xml:space="preserve">For the HTML Command Center dashboard</t>
  </si>
  <si>
    <t xml:space="preserve">Export each tab as CSV (File &gt; Download &gt; CSV, one file per tab: Vehicles, Trips, Expenses, Charging) and upload them into the dashboard's 'Update Data' panel. It recalculates everything client-side and remembers your last upload.</t>
  </si>
  <si>
    <t xml:space="preserve">COLOR KEY</t>
  </si>
  <si>
    <t xml:space="preserve">Blue text</t>
  </si>
  <si>
    <t xml:space="preserve">Type your own data here.</t>
  </si>
  <si>
    <t xml:space="preserve">Black text</t>
  </si>
  <si>
    <t xml:space="preserve">Formula — do not overwrite.</t>
  </si>
  <si>
    <t xml:space="preserve">Pale yellow row</t>
  </si>
  <si>
    <t xml:space="preserve">Example row showing expected format — delete or overwrite it once you add real data.</t>
  </si>
  <si>
    <t xml:space="preserve">Vehicle ID</t>
  </si>
  <si>
    <t xml:space="preserve">VIN</t>
  </si>
  <si>
    <t xml:space="preserve">In-Service Date</t>
  </si>
  <si>
    <t xml:space="preserve">Purchase Price</t>
  </si>
  <si>
    <t xml:space="preserve">Financing Type</t>
  </si>
  <si>
    <t xml:space="preserve">Monthly Loan/Lease Payment</t>
  </si>
  <si>
    <t xml:space="preserve">Loan Balance Remaining</t>
  </si>
  <si>
    <t xml:space="preserve">Monthly Insurance Premium</t>
  </si>
  <si>
    <t xml:space="preserve">Annual Registration/Tax</t>
  </si>
  <si>
    <t xml:space="preserve">Turo Commission Rate (Protection Plan)</t>
  </si>
  <si>
    <t xml:space="preserve">Current Odometer (mi)</t>
  </si>
  <si>
    <t xml:space="preserve">Next Maintenance Due (mi)</t>
  </si>
  <si>
    <t xml:space="preserve">Next Maintenance Due (date)</t>
  </si>
  <si>
    <t xml:space="preserve">Tire Replacement Due (mi)</t>
  </si>
  <si>
    <t xml:space="preserve">Insurance Renewal Date</t>
  </si>
  <si>
    <t xml:space="preserve">Registration Renewal Date</t>
  </si>
  <si>
    <t xml:space="preserve">Status</t>
  </si>
  <si>
    <t xml:space="preserve">Model Y #1 - White</t>
  </si>
  <si>
    <t xml:space="preserve">5YJYGDEE1NF000001</t>
  </si>
  <si>
    <t xml:space="preserve">2024-03-01</t>
  </si>
  <si>
    <t xml:space="preserve">Loan</t>
  </si>
  <si>
    <t xml:space="preserve">2026-09-01</t>
  </si>
  <si>
    <t xml:space="preserve">2027-03-01</t>
  </si>
  <si>
    <t xml:space="preserve">Active</t>
  </si>
  <si>
    <t xml:space="preserve">Model Y #2 - Black</t>
  </si>
  <si>
    <t xml:space="preserve">5YJYGDEE2NF000002</t>
  </si>
  <si>
    <t xml:space="preserve">2024-06-15</t>
  </si>
  <si>
    <t xml:space="preserve">Cash</t>
  </si>
  <si>
    <t xml:space="preserve">2026-08-15</t>
  </si>
  <si>
    <t xml:space="preserve">2027-06-15</t>
  </si>
  <si>
    <t xml:space="preserve">Trip ID</t>
  </si>
  <si>
    <t xml:space="preserve">Vehicle</t>
  </si>
  <si>
    <t xml:space="preserve">Guest Name</t>
  </si>
  <si>
    <t xml:space="preserve">Trip Start Date</t>
  </si>
  <si>
    <t xml:space="preserve">Trip End Date</t>
  </si>
  <si>
    <t xml:space="preserve">Trip Days</t>
  </si>
  <si>
    <t xml:space="preserve">Guest Trip Price ($)</t>
  </si>
  <si>
    <t xml:space="preserve">Host Net Earnings ($)</t>
  </si>
  <si>
    <t xml:space="preserve">Turo Fee ($)</t>
  </si>
  <si>
    <t xml:space="preserve">Miles Driven</t>
  </si>
  <si>
    <t xml:space="preserve">Trip Rating (1-5)</t>
  </si>
  <si>
    <t xml:space="preserve">Month</t>
  </si>
  <si>
    <t xml:space="preserve">Notes</t>
  </si>
  <si>
    <t xml:space="preserve">TR-1001</t>
  </si>
  <si>
    <t xml:space="preserve">Jordan P.</t>
  </si>
  <si>
    <t xml:space="preserve">2026-06-02</t>
  </si>
  <si>
    <t xml:space="preserve">2026-06-05</t>
  </si>
  <si>
    <t xml:space="preserve">Airport pickup</t>
  </si>
  <si>
    <t xml:space="preserve">Date</t>
  </si>
  <si>
    <t xml:space="preserve">Category</t>
  </si>
  <si>
    <t xml:space="preserve">Description</t>
  </si>
  <si>
    <t xml:space="preserve">Amount ($)</t>
  </si>
  <si>
    <t xml:space="preserve">2026-06-01</t>
  </si>
  <si>
    <t xml:space="preserve">Loan/Lease Payment</t>
  </si>
  <si>
    <t xml:space="preserve">June loan payment</t>
  </si>
  <si>
    <t xml:space="preserve">Location Type</t>
  </si>
  <si>
    <t xml:space="preserve">kWh Added</t>
  </si>
  <si>
    <t xml:space="preserve">Cost ($)</t>
  </si>
  <si>
    <t xml:space="preserve">Cost per kWh</t>
  </si>
  <si>
    <t xml:space="preserve">Odometer at Charge (mi)</t>
  </si>
  <si>
    <t xml:space="preserve">2026-06-03</t>
  </si>
  <si>
    <t xml:space="preserve">Supercharger</t>
  </si>
  <si>
    <t xml:space="preserve">Turo Fleet Command Center — Summary</t>
  </si>
  <si>
    <t xml:space="preserve">Every cell below is a formula pulling from Vehicles / Trips / Expenses / Charging. Don't type values here.</t>
  </si>
  <si>
    <t xml:space="preserve">FLEET KPI OVERVIEW</t>
  </si>
  <si>
    <t xml:space="preserve">Days in Service</t>
  </si>
  <si>
    <t xml:space="preserve">Total Trips</t>
  </si>
  <si>
    <t xml:space="preserve">Booked Days</t>
  </si>
  <si>
    <t xml:space="preserve">Utilization %</t>
  </si>
  <si>
    <t xml:space="preserve">Gross Guest Revenue</t>
  </si>
  <si>
    <t xml:space="preserve">Host Net Earnings</t>
  </si>
  <si>
    <t xml:space="preserve">Turo Fees</t>
  </si>
  <si>
    <t xml:space="preserve">Avg Daily Rate</t>
  </si>
  <si>
    <t xml:space="preserve">Total Miles</t>
  </si>
  <si>
    <t xml:space="preserve">Charging Cost</t>
  </si>
  <si>
    <t xml:space="preserve">Cost/Mile (energy)</t>
  </si>
  <si>
    <t xml:space="preserve">Fixed Costs</t>
  </si>
  <si>
    <t xml:space="preserve">Variable Costs</t>
  </si>
  <si>
    <t xml:space="preserve">Total Costs</t>
  </si>
  <si>
    <t xml:space="preserve">Net Profit</t>
  </si>
  <si>
    <t xml:space="preserve">Net Margin %</t>
  </si>
  <si>
    <t xml:space="preserve">Profit/Available Day</t>
  </si>
  <si>
    <t xml:space="preserve">Break-even Utilization %</t>
  </si>
  <si>
    <t xml:space="preserve">Fleet Total</t>
  </si>
  <si>
    <t xml:space="preserve">OPERATIONAL ALERTS</t>
  </si>
  <si>
    <t xml:space="preserve">Alert</t>
  </si>
  <si>
    <t xml:space="preserve">Detail</t>
  </si>
  <si>
    <t xml:space="preserve">Insurance Renewal</t>
  </si>
  <si>
    <t xml:space="preserve">Registration Renewal</t>
  </si>
  <si>
    <t xml:space="preserve">Maintenance Due</t>
  </si>
  <si>
    <t xml:space="preserve">Utilization</t>
  </si>
  <si>
    <t xml:space="preserve">Profitability</t>
  </si>
  <si>
    <t xml:space="preserve">MONTHLY TREND (trailing 12 months)</t>
  </si>
  <si>
    <t xml:space="preserve">Month Label</t>
  </si>
  <si>
    <t xml:space="preserve">MonthKey</t>
  </si>
  <si>
    <t xml:space="preserve">V1 Net Earnings</t>
  </si>
  <si>
    <t xml:space="preserve">V1 Costs</t>
  </si>
  <si>
    <t xml:space="preserve">V1 Profit</t>
  </si>
  <si>
    <t xml:space="preserve">V1 Utilization %</t>
  </si>
  <si>
    <t xml:space="preserve">V2 Net Earnings</t>
  </si>
  <si>
    <t xml:space="preserve">V2 Costs</t>
  </si>
  <si>
    <t xml:space="preserve">V2 Profit</t>
  </si>
  <si>
    <t xml:space="preserve">V2 Utilization %</t>
  </si>
  <si>
    <t xml:space="preserve">Fleet Net Earnings</t>
  </si>
  <si>
    <t xml:space="preserve">Fleet Costs</t>
  </si>
  <si>
    <t xml:space="preserve">Fleet Profit</t>
  </si>
  <si>
    <t xml:space="preserve">Fleet Utilization %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</si>
</sst>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\$#,##0"/>
    <numFmt numFmtId="167" formatCode="0%"/>
    <numFmt numFmtId="168" formatCode="General"/>
    <numFmt numFmtId="169" formatCode="\$#,##0.00"/>
    <numFmt numFmtId="170" formatCode="0"/>
    <numFmt numFmtId="171" formatCode="0.0%"/>
    <numFmt numFmtId="172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0000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F3F4F6"/>
      </patternFill>
    </fill>
    <fill>
      <patternFill patternType="solid">
        <fgColor rgb="FF1F2937"/>
        <bgColor rgb="FF111827"/>
      </patternFill>
    </fill>
    <fill>
      <patternFill patternType="solid">
        <fgColor rgb="FFFFF9DB"/>
        <bgColor rgb="FFFEF3C7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9DB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EF3C7"/>
      <rgbColor rgb="FF99CCFF"/>
      <rgbColor rgb="FFFF99CC"/>
      <rgbColor rgb="FFCC99FF"/>
      <rgbColor rgb="FFFEE2E2"/>
      <rgbColor rgb="FF4F81BD"/>
      <rgbColor rgb="FF33CCCC"/>
      <rgbColor rgb="FF99CC00"/>
      <rgbColor rgb="FFFFCC00"/>
      <rgbColor rgb="FFFF9900"/>
      <rgbColor rgb="FFD97706"/>
      <rgbColor rgb="FF6B7280"/>
      <rgbColor rgb="FF9CA3AF"/>
      <rgbColor rgb="FF003366"/>
      <rgbColor rgb="FF1F9E8F"/>
      <rgbColor rgb="FF111827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by Vehicle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Summary!Q6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9e8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770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Summary!$B$7:$B$8</c:f>
              <c:strCache>
                <c:ptCount val="2"/>
                <c:pt idx="0">
                  <c:v>Model Y #1 - White</c:v>
                </c:pt>
                <c:pt idx="1">
                  <c:v>Model Y #2 - Black</c:v>
                </c:pt>
              </c:strCache>
            </c:strRef>
          </c:cat>
          <c:val>
            <c:numRef>
              <c:f>Summary!$Q$7:$Q$8</c:f>
              <c:numCache>
                <c:formatCode>\$#,##0</c:formatCode>
                <c:ptCount val="2"/>
                <c:pt idx="0">
                  <c:v>-508.9</c:v>
                </c:pt>
                <c:pt idx="1">
                  <c:v>0</c:v>
                </c:pt>
              </c:numCache>
            </c:numRef>
          </c:val>
        </c:ser>
        <c:gapWidth val="60"/>
        <c:overlap val="0"/>
        <c:axId val="15172076"/>
        <c:axId val="82401144"/>
      </c:barChart>
      <c:catAx>
        <c:axId val="15172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01144"/>
        <c:crosses val="autoZero"/>
        <c:auto val="1"/>
        <c:lblAlgn val="ctr"/>
        <c:lblOffset val="100"/>
        <c:noMultiLvlLbl val="0"/>
      </c:catAx>
      <c:valAx>
        <c:axId val="82401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720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Utilization % by Vehicle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Summary!F6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9e8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770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Summary!$B$7:$B$8</c:f>
              <c:strCache>
                <c:ptCount val="2"/>
                <c:pt idx="0">
                  <c:v>Model Y #1 - White</c:v>
                </c:pt>
                <c:pt idx="1">
                  <c:v>Model Y #2 - Black</c:v>
                </c:pt>
              </c:strCache>
            </c:strRef>
          </c:cat>
          <c:val>
            <c:numRef>
              <c:f>Summary!$F$7:$F$8</c:f>
              <c:numCache>
                <c:formatCode>0.0%</c:formatCode>
                <c:ptCount val="2"/>
                <c:pt idx="0">
                  <c:v>0.00459242250287026</c:v>
                </c:pt>
                <c:pt idx="1">
                  <c:v>0</c:v>
                </c:pt>
              </c:numCache>
            </c:numRef>
          </c:val>
        </c:ser>
        <c:gapWidth val="60"/>
        <c:overlap val="0"/>
        <c:axId val="73408437"/>
        <c:axId val="44428111"/>
      </c:barChart>
      <c:catAx>
        <c:axId val="734084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28111"/>
        <c:crosses val="autoZero"/>
        <c:auto val="1"/>
        <c:lblAlgn val="ctr"/>
        <c:lblOffset val="100"/>
        <c:noMultiLvlLbl val="0"/>
      </c:catAx>
      <c:valAx>
        <c:axId val="44428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08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Breakdown by Vehicle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Summary!M6</c:f>
              <c:strCache>
                <c:ptCount val="1"/>
                <c:pt idx="0">
                  <c:v>Cost/Mile (energy)</c:v>
                </c:pt>
              </c:strCache>
            </c:strRef>
          </c:tx>
          <c:spPr>
            <a:solidFill>
              <a:srgbClr val="37415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Summary!$B$7:$B$8</c:f>
              <c:strCache>
                <c:ptCount val="2"/>
                <c:pt idx="0">
                  <c:v>Model Y #1 - White</c:v>
                </c:pt>
                <c:pt idx="1">
                  <c:v>Model Y #2 - Black</c:v>
                </c:pt>
              </c:strCache>
            </c:strRef>
          </c:cat>
          <c:val>
            <c:numRef>
              <c:f>Summary!$M$7:$M$8</c:f>
              <c:numCache>
                <c:formatCode>\$#,##0.00</c:formatCode>
                <c:ptCount val="2"/>
                <c:pt idx="0">
                  <c:v>0.09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Summary!N6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rgbClr val="9ca3a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Summary!$B$7:$B$8</c:f>
              <c:strCache>
                <c:ptCount val="2"/>
                <c:pt idx="0">
                  <c:v>Model Y #1 - White</c:v>
                </c:pt>
                <c:pt idx="1">
                  <c:v>Model Y #2 - Black</c:v>
                </c:pt>
              </c:strCache>
            </c:strRef>
          </c:cat>
          <c:val>
            <c:numRef>
              <c:f>Summary!$N$7:$N$8</c:f>
              <c:numCache>
                <c:formatCode>\$#,##0</c:formatCode>
                <c:ptCount val="2"/>
                <c:pt idx="0">
                  <c:v>850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Summary!L6</c:f>
              <c:strCache>
                <c:ptCount val="1"/>
                <c:pt idx="0">
                  <c:v>Charging Cost</c:v>
                </c:pt>
              </c:strCache>
            </c:strRef>
          </c:tx>
          <c:spPr>
            <a:solidFill>
              <a:srgbClr val="1f9e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Summary!$B$7:$B$8</c:f>
              <c:strCache>
                <c:ptCount val="2"/>
                <c:pt idx="0">
                  <c:v>Model Y #1 - White</c:v>
                </c:pt>
                <c:pt idx="1">
                  <c:v>Model Y #2 - Black</c:v>
                </c:pt>
              </c:strCache>
            </c:strRef>
          </c:cat>
          <c:val>
            <c:numRef>
              <c:f>Summary!$L$7:$L$8</c:f>
              <c:numCache>
                <c:formatCode>\$#,##0</c:formatCode>
                <c:ptCount val="2"/>
                <c:pt idx="0">
                  <c:v>18.9</c:v>
                </c:pt>
                <c:pt idx="1">
                  <c:v>0</c:v>
                </c:pt>
              </c:numCache>
            </c:numRef>
          </c:val>
        </c:ser>
        <c:gapWidth val="150"/>
        <c:overlap val="100"/>
        <c:axId val="67628951"/>
        <c:axId val="82340676"/>
      </c:barChart>
      <c:catAx>
        <c:axId val="67628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40676"/>
        <c:crosses val="autoZero"/>
        <c:auto val="1"/>
        <c:lblAlgn val="ctr"/>
        <c:lblOffset val="100"/>
        <c:noMultiLvlLbl val="0"/>
      </c:catAx>
      <c:valAx>
        <c:axId val="82340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28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Summary!G26</c:f>
              <c:strCache>
                <c:ptCount val="1"/>
                <c:pt idx="0">
                  <c:v>V1 Profit</c:v>
                </c:pt>
              </c:strCache>
            </c:strRef>
          </c:tx>
          <c:spPr>
            <a:solidFill>
              <a:srgbClr val="1f9e8f"/>
            </a:solidFill>
            <a:ln w="20160">
              <a:solidFill>
                <a:srgbClr val="1f9e8f"/>
              </a:solidFill>
              <a:round/>
            </a:ln>
          </c:spPr>
          <c:marker>
            <c:symbol val="circle"/>
            <c:size val="6"/>
            <c:spPr>
              <a:solidFill>
                <a:srgbClr val="1f9e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Summary!$C$27:$C$38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Summary!$G$27:$G$38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-508.9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Summary!K26</c:f>
              <c:strCache>
                <c:ptCount val="1"/>
                <c:pt idx="0">
                  <c:v>V2 Profit</c:v>
                </c:pt>
              </c:strCache>
            </c:strRef>
          </c:tx>
          <c:spPr>
            <a:solidFill>
              <a:srgbClr val="d97706"/>
            </a:solidFill>
            <a:ln w="20160">
              <a:solidFill>
                <a:srgbClr val="d97706"/>
              </a:solidFill>
              <a:round/>
            </a:ln>
          </c:spPr>
          <c:marker>
            <c:symbol val="circle"/>
            <c:size val="6"/>
            <c:spPr>
              <a:solidFill>
                <a:srgbClr val="d9770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Summary!$C$27:$C$38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Summary!$K$27:$K$38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Summary!O26</c:f>
              <c:strCache>
                <c:ptCount val="1"/>
                <c:pt idx="0">
                  <c:v>Fleet Profit</c:v>
                </c:pt>
              </c:strCache>
            </c:strRef>
          </c:tx>
          <c:spPr>
            <a:solidFill>
              <a:srgbClr val="374151"/>
            </a:solidFill>
            <a:ln w="20160">
              <a:solidFill>
                <a:srgbClr val="374151"/>
              </a:solidFill>
              <a:round/>
            </a:ln>
          </c:spPr>
          <c:marker>
            <c:symbol val="circle"/>
            <c:size val="6"/>
            <c:spPr>
              <a:solidFill>
                <a:srgbClr val="3741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Summary!$C$27:$C$38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Summary!$O$27:$O$38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-508.9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915805"/>
        <c:axId val="59918597"/>
      </c:lineChart>
      <c:catAx>
        <c:axId val="26915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18597"/>
        <c:crosses val="autoZero"/>
        <c:auto val="1"/>
        <c:lblAlgn val="ctr"/>
        <c:lblOffset val="100"/>
        <c:noMultiLvlLbl val="0"/>
      </c:catAx>
      <c:valAx>
        <c:axId val="59918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158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Utilization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Summary!H26</c:f>
              <c:strCache>
                <c:ptCount val="1"/>
                <c:pt idx="0">
                  <c:v>V1 Utilization %</c:v>
                </c:pt>
              </c:strCache>
            </c:strRef>
          </c:tx>
          <c:spPr>
            <a:solidFill>
              <a:srgbClr val="1f9e8f"/>
            </a:solidFill>
            <a:ln w="20160">
              <a:solidFill>
                <a:srgbClr val="1f9e8f"/>
              </a:solidFill>
              <a:round/>
            </a:ln>
          </c:spPr>
          <c:marker>
            <c:symbol val="circle"/>
            <c:size val="6"/>
            <c:spPr>
              <a:solidFill>
                <a:srgbClr val="1f9e8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Summary!$C$27:$C$38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Summary!$H$27:$H$38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0.133333333333333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Summary!L26</c:f>
              <c:strCache>
                <c:ptCount val="1"/>
                <c:pt idx="0">
                  <c:v>V2 Utilization %</c:v>
                </c:pt>
              </c:strCache>
            </c:strRef>
          </c:tx>
          <c:spPr>
            <a:solidFill>
              <a:srgbClr val="d97706"/>
            </a:solidFill>
            <a:ln w="20160">
              <a:solidFill>
                <a:srgbClr val="d97706"/>
              </a:solidFill>
              <a:round/>
            </a:ln>
          </c:spPr>
          <c:marker>
            <c:symbol val="circle"/>
            <c:size val="6"/>
            <c:spPr>
              <a:solidFill>
                <a:srgbClr val="d9770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Summary!$C$27:$C$38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Summary!$L$27:$L$38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Summary!P26</c:f>
              <c:strCache>
                <c:ptCount val="1"/>
                <c:pt idx="0">
                  <c:v>Fleet Utilization %</c:v>
                </c:pt>
              </c:strCache>
            </c:strRef>
          </c:tx>
          <c:spPr>
            <a:solidFill>
              <a:srgbClr val="374151"/>
            </a:solidFill>
            <a:ln w="20160">
              <a:solidFill>
                <a:srgbClr val="374151"/>
              </a:solidFill>
              <a:round/>
            </a:ln>
          </c:spPr>
          <c:marker>
            <c:symbol val="circle"/>
            <c:size val="6"/>
            <c:spPr>
              <a:solidFill>
                <a:srgbClr val="37415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Summary!$C$27:$C$38</c:f>
              <c:strCache>
                <c:ptCount val="12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Summary!$P$27:$P$38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0.0666666666666667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098526"/>
        <c:axId val="12718999"/>
      </c:lineChart>
      <c:catAx>
        <c:axId val="75098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18999"/>
        <c:crosses val="autoZero"/>
        <c:auto val="1"/>
        <c:lblAlgn val="ctr"/>
        <c:lblOffset val="100"/>
        <c:noMultiLvlLbl val="0"/>
      </c:catAx>
      <c:valAx>
        <c:axId val="12718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8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38</xdr:row>
      <xdr:rowOff>18720</xdr:rowOff>
    </xdr:from>
    <xdr:to>
      <xdr:col>3</xdr:col>
      <xdr:colOff>1839240</xdr:colOff>
      <xdr:row>53</xdr:row>
      <xdr:rowOff>40680</xdr:rowOff>
    </xdr:to>
    <xdr:graphicFrame>
      <xdr:nvGraphicFramePr>
        <xdr:cNvPr id="0" name="Chart 1"/>
        <xdr:cNvGraphicFramePr/>
      </xdr:nvGraphicFramePr>
      <xdr:xfrm>
        <a:off x="266760" y="7429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38</xdr:row>
      <xdr:rowOff>18720</xdr:rowOff>
    </xdr:from>
    <xdr:to>
      <xdr:col>12</xdr:col>
      <xdr:colOff>772200</xdr:colOff>
      <xdr:row>53</xdr:row>
      <xdr:rowOff>40680</xdr:rowOff>
    </xdr:to>
    <xdr:graphicFrame>
      <xdr:nvGraphicFramePr>
        <xdr:cNvPr id="1" name="Chart 2"/>
        <xdr:cNvGraphicFramePr/>
      </xdr:nvGraphicFramePr>
      <xdr:xfrm>
        <a:off x="14135040" y="7429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56</xdr:row>
      <xdr:rowOff>18720</xdr:rowOff>
    </xdr:from>
    <xdr:to>
      <xdr:col>3</xdr:col>
      <xdr:colOff>1839240</xdr:colOff>
      <xdr:row>71</xdr:row>
      <xdr:rowOff>40680</xdr:rowOff>
    </xdr:to>
    <xdr:graphicFrame>
      <xdr:nvGraphicFramePr>
        <xdr:cNvPr id="2" name="Chart 3"/>
        <xdr:cNvGraphicFramePr/>
      </xdr:nvGraphicFramePr>
      <xdr:xfrm>
        <a:off x="266760" y="10858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56</xdr:row>
      <xdr:rowOff>18720</xdr:rowOff>
    </xdr:from>
    <xdr:to>
      <xdr:col>12</xdr:col>
      <xdr:colOff>772200</xdr:colOff>
      <xdr:row>71</xdr:row>
      <xdr:rowOff>40680</xdr:rowOff>
    </xdr:to>
    <xdr:graphicFrame>
      <xdr:nvGraphicFramePr>
        <xdr:cNvPr id="3" name="Chart 4"/>
        <xdr:cNvGraphicFramePr/>
      </xdr:nvGraphicFramePr>
      <xdr:xfrm>
        <a:off x="14135040" y="10858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74</xdr:row>
      <xdr:rowOff>18720</xdr:rowOff>
    </xdr:from>
    <xdr:to>
      <xdr:col>3</xdr:col>
      <xdr:colOff>1839240</xdr:colOff>
      <xdr:row>100</xdr:row>
      <xdr:rowOff>105120</xdr:rowOff>
    </xdr:to>
    <xdr:graphicFrame>
      <xdr:nvGraphicFramePr>
        <xdr:cNvPr id="4" name="Chart 5"/>
        <xdr:cNvGraphicFramePr/>
      </xdr:nvGraphicFramePr>
      <xdr:xfrm>
        <a:off x="266760" y="14287680"/>
        <a:ext cx="50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B2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</row>
    <row r="7" customFormat="false" ht="30" hidden="false" customHeight="true" outlineLevel="0" collapsed="false">
      <c r="B7" s="4" t="s">
        <v>3</v>
      </c>
      <c r="C7" s="5" t="s">
        <v>4</v>
      </c>
      <c r="D7" s="5"/>
      <c r="E7" s="5"/>
      <c r="F7" s="5"/>
      <c r="G7" s="5"/>
    </row>
    <row r="8" customFormat="false" ht="30" hidden="false" customHeight="true" outlineLevel="0" collapsed="false">
      <c r="B8" s="4" t="s">
        <v>5</v>
      </c>
      <c r="C8" s="5" t="s">
        <v>6</v>
      </c>
      <c r="D8" s="5"/>
      <c r="E8" s="5"/>
      <c r="F8" s="5"/>
      <c r="G8" s="5"/>
    </row>
    <row r="9" customFormat="false" ht="30" hidden="false" customHeight="true" outlineLevel="0" collapsed="false">
      <c r="B9" s="4" t="s">
        <v>7</v>
      </c>
      <c r="C9" s="5" t="s">
        <v>8</v>
      </c>
      <c r="D9" s="5"/>
      <c r="E9" s="5"/>
      <c r="F9" s="5"/>
      <c r="G9" s="5"/>
    </row>
    <row r="10" customFormat="false" ht="30" hidden="false" customHeight="true" outlineLevel="0" collapsed="false">
      <c r="B10" s="4" t="s">
        <v>9</v>
      </c>
      <c r="C10" s="5" t="s">
        <v>10</v>
      </c>
      <c r="D10" s="5"/>
      <c r="E10" s="5"/>
      <c r="F10" s="5"/>
      <c r="G10" s="5"/>
    </row>
    <row r="11" customFormat="false" ht="30" hidden="false" customHeight="true" outlineLevel="0" collapsed="false">
      <c r="B11" s="4" t="s">
        <v>11</v>
      </c>
      <c r="C11" s="5" t="s">
        <v>12</v>
      </c>
      <c r="D11" s="5"/>
      <c r="E11" s="5"/>
      <c r="F11" s="5"/>
      <c r="G11" s="5"/>
    </row>
    <row r="13" customFormat="false" ht="15" hidden="false" customHeight="false" outlineLevel="0" collapsed="false">
      <c r="B13" s="3" t="s">
        <v>13</v>
      </c>
      <c r="C13" s="3"/>
      <c r="D13" s="3"/>
      <c r="E13" s="3"/>
      <c r="F13" s="3"/>
    </row>
    <row r="14" customFormat="false" ht="30" hidden="false" customHeight="true" outlineLevel="0" collapsed="false">
      <c r="B14" s="4" t="s">
        <v>14</v>
      </c>
      <c r="C14" s="5" t="s">
        <v>15</v>
      </c>
      <c r="D14" s="5"/>
      <c r="E14" s="5"/>
      <c r="F14" s="5"/>
      <c r="G14" s="5"/>
    </row>
    <row r="15" customFormat="false" ht="30" hidden="false" customHeight="true" outlineLevel="0" collapsed="false">
      <c r="B15" s="4" t="s">
        <v>16</v>
      </c>
      <c r="C15" s="5" t="s">
        <v>17</v>
      </c>
      <c r="D15" s="5"/>
      <c r="E15" s="5"/>
      <c r="F15" s="5"/>
      <c r="G15" s="5"/>
    </row>
    <row r="16" customFormat="false" ht="30" hidden="false" customHeight="true" outlineLevel="0" collapsed="false">
      <c r="B16" s="4" t="s">
        <v>18</v>
      </c>
      <c r="C16" s="5" t="s">
        <v>19</v>
      </c>
      <c r="D16" s="5"/>
      <c r="E16" s="5"/>
      <c r="F16" s="5"/>
      <c r="G16" s="5"/>
    </row>
    <row r="18" customFormat="false" ht="15" hidden="false" customHeight="false" outlineLevel="0" collapsed="false">
      <c r="B18" s="3" t="s">
        <v>20</v>
      </c>
      <c r="C18" s="3"/>
      <c r="D18" s="3"/>
      <c r="E18" s="3"/>
      <c r="F18" s="3"/>
    </row>
    <row r="19" customFormat="false" ht="30" hidden="false" customHeight="true" outlineLevel="0" collapsed="false">
      <c r="B19" s="4" t="s">
        <v>21</v>
      </c>
      <c r="C19" s="5" t="s">
        <v>22</v>
      </c>
      <c r="D19" s="5"/>
      <c r="E19" s="5"/>
      <c r="F19" s="5"/>
      <c r="G19" s="5"/>
    </row>
    <row r="20" customFormat="false" ht="30" hidden="false" customHeight="true" outlineLevel="0" collapsed="false">
      <c r="B20" s="4" t="s">
        <v>23</v>
      </c>
      <c r="C20" s="5" t="s">
        <v>24</v>
      </c>
      <c r="D20" s="5"/>
      <c r="E20" s="5"/>
      <c r="F20" s="5"/>
      <c r="G20" s="5"/>
    </row>
    <row r="21" customFormat="false" ht="30" hidden="false" customHeight="true" outlineLevel="0" collapsed="false">
      <c r="B21" s="4" t="s">
        <v>25</v>
      </c>
      <c r="C21" s="5" t="s">
        <v>26</v>
      </c>
      <c r="D21" s="5"/>
      <c r="E21" s="5"/>
      <c r="F21" s="5"/>
      <c r="G21" s="5"/>
    </row>
  </sheetData>
  <mergeCells count="14">
    <mergeCell ref="B6:F6"/>
    <mergeCell ref="C7:G7"/>
    <mergeCell ref="C8:G8"/>
    <mergeCell ref="C9:G9"/>
    <mergeCell ref="C10:G10"/>
    <mergeCell ref="C11:G11"/>
    <mergeCell ref="B13:F13"/>
    <mergeCell ref="C14:G14"/>
    <mergeCell ref="C15:G15"/>
    <mergeCell ref="C16:G16"/>
    <mergeCell ref="B18:F18"/>
    <mergeCell ref="C19:G19"/>
    <mergeCell ref="C20:G20"/>
    <mergeCell ref="C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5" min="3" style="0" width="14"/>
    <col collapsed="false" customWidth="true" hidden="false" outlineLevel="0" max="8" min="6" style="0" width="16"/>
    <col collapsed="false" customWidth="true" hidden="false" outlineLevel="0" max="12" min="9" style="0" width="14"/>
    <col collapsed="false" customWidth="true" hidden="false" outlineLevel="0" max="13" min="13" style="0" width="16"/>
    <col collapsed="false" customWidth="true" hidden="false" outlineLevel="0" max="16" min="14" style="0" width="14"/>
    <col collapsed="false" customWidth="true" hidden="false" outlineLevel="0" max="17" min="17" style="0" width="12"/>
  </cols>
  <sheetData>
    <row r="1" customFormat="false" ht="35.0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  <c r="Q1" s="6" t="s">
        <v>43</v>
      </c>
    </row>
    <row r="2" customFormat="false" ht="15" hidden="false" customHeight="false" outlineLevel="0" collapsed="false">
      <c r="A2" s="7" t="s">
        <v>44</v>
      </c>
      <c r="B2" s="7" t="s">
        <v>45</v>
      </c>
      <c r="C2" s="8" t="s">
        <v>46</v>
      </c>
      <c r="D2" s="9" t="n">
        <v>52000</v>
      </c>
      <c r="E2" s="7" t="s">
        <v>47</v>
      </c>
      <c r="F2" s="9" t="n">
        <v>850</v>
      </c>
      <c r="G2" s="9" t="n">
        <v>31000</v>
      </c>
      <c r="H2" s="9" t="n">
        <v>180</v>
      </c>
      <c r="I2" s="9" t="n">
        <v>420</v>
      </c>
      <c r="J2" s="10" t="n">
        <v>0.25</v>
      </c>
      <c r="K2" s="7" t="n">
        <v>28500</v>
      </c>
      <c r="L2" s="7" t="n">
        <v>35000</v>
      </c>
      <c r="M2" s="8" t="s">
        <v>48</v>
      </c>
      <c r="N2" s="7" t="n">
        <v>40000</v>
      </c>
      <c r="O2" s="8" t="s">
        <v>49</v>
      </c>
      <c r="P2" s="8" t="s">
        <v>49</v>
      </c>
      <c r="Q2" s="7" t="s">
        <v>50</v>
      </c>
    </row>
    <row r="3" customFormat="false" ht="15" hidden="false" customHeight="false" outlineLevel="0" collapsed="false">
      <c r="A3" s="7" t="s">
        <v>51</v>
      </c>
      <c r="B3" s="7" t="s">
        <v>52</v>
      </c>
      <c r="C3" s="8" t="s">
        <v>53</v>
      </c>
      <c r="D3" s="9" t="n">
        <v>54000</v>
      </c>
      <c r="E3" s="7" t="s">
        <v>54</v>
      </c>
      <c r="F3" s="9" t="n">
        <v>0</v>
      </c>
      <c r="G3" s="9" t="n">
        <v>0</v>
      </c>
      <c r="H3" s="9" t="n">
        <v>175</v>
      </c>
      <c r="I3" s="9" t="n">
        <v>420</v>
      </c>
      <c r="J3" s="10" t="n">
        <v>0.25</v>
      </c>
      <c r="K3" s="7" t="n">
        <v>21000</v>
      </c>
      <c r="L3" s="7" t="n">
        <v>30000</v>
      </c>
      <c r="M3" s="8" t="s">
        <v>55</v>
      </c>
      <c r="N3" s="7" t="n">
        <v>40000</v>
      </c>
      <c r="O3" s="8" t="s">
        <v>56</v>
      </c>
      <c r="P3" s="8" t="s">
        <v>56</v>
      </c>
      <c r="Q3" s="7" t="s">
        <v>50</v>
      </c>
    </row>
  </sheetData>
  <dataValidations count="2">
    <dataValidation allowBlank="true" errorStyle="stop" operator="between" showDropDown="false" showErrorMessage="false" showInputMessage="false" sqref="Q2:Q500" type="list">
      <formula1>"Active,Maintenance,Off-platform,Sold"</formula1>
      <formula2>0</formula2>
    </dataValidation>
    <dataValidation allowBlank="true" errorStyle="stop" operator="between" showDropDown="false" showErrorMessage="false" showInputMessage="false" sqref="E2:E500" type="list">
      <formula1>"Cash,Loan,Lease"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E8F"/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</row>
    <row r="2" customFormat="false" ht="15" hidden="false" customHeight="false" outlineLevel="0" collapsed="false">
      <c r="A2" s="7" t="s">
        <v>70</v>
      </c>
      <c r="B2" s="7" t="s">
        <v>44</v>
      </c>
      <c r="C2" s="7" t="s">
        <v>71</v>
      </c>
      <c r="D2" s="8" t="s">
        <v>72</v>
      </c>
      <c r="E2" s="8" t="s">
        <v>73</v>
      </c>
      <c r="F2" s="11" t="n">
        <f aca="false">E2-D2+1</f>
        <v>4</v>
      </c>
      <c r="G2" s="9" t="n">
        <v>480</v>
      </c>
      <c r="H2" s="9" t="n">
        <v>360</v>
      </c>
      <c r="I2" s="12" t="n">
        <f aca="false">IF(G2=0,"",G2-H2)</f>
        <v>120</v>
      </c>
      <c r="J2" s="7" t="n">
        <v>210</v>
      </c>
      <c r="K2" s="7" t="n">
        <v>5</v>
      </c>
      <c r="L2" s="11" t="str">
        <f aca="false">TEXT(D2,"yyyy-mm")</f>
        <v>2026-06</v>
      </c>
      <c r="M2" s="7" t="s">
        <v>74</v>
      </c>
    </row>
  </sheetData>
  <dataValidations count="1">
    <dataValidation allowBlank="true" errorStyle="stop" operator="between" showDropDown="false" showErrorMessage="false" showInputMessage="false" sqref="B2:B1002" type="list">
      <formula1>Vehicles!$A$2:$A$50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6" t="s">
        <v>75</v>
      </c>
      <c r="B1" s="6" t="s">
        <v>58</v>
      </c>
      <c r="C1" s="6" t="s">
        <v>76</v>
      </c>
      <c r="D1" s="6" t="s">
        <v>77</v>
      </c>
      <c r="E1" s="6" t="s">
        <v>78</v>
      </c>
      <c r="F1" s="6" t="s">
        <v>68</v>
      </c>
      <c r="G1" s="6" t="s">
        <v>69</v>
      </c>
    </row>
    <row r="2" customFormat="false" ht="15" hidden="false" customHeight="false" outlineLevel="0" collapsed="false">
      <c r="A2" s="8" t="s">
        <v>79</v>
      </c>
      <c r="B2" s="7" t="s">
        <v>44</v>
      </c>
      <c r="C2" s="7" t="s">
        <v>80</v>
      </c>
      <c r="D2" s="7" t="s">
        <v>81</v>
      </c>
      <c r="E2" s="9" t="n">
        <v>850</v>
      </c>
      <c r="F2" s="11" t="str">
        <f aca="false">TEXT(A2,"yyyy-mm")</f>
        <v>2026-06</v>
      </c>
      <c r="G2" s="7"/>
    </row>
  </sheetData>
  <dataValidations count="2">
    <dataValidation allowBlank="true" errorStyle="stop" operator="between" showDropDown="false" showErrorMessage="false" showInputMessage="false" sqref="B2:B1002" type="list">
      <formula1>Vehicles!$A$2:$A$50</formula1>
      <formula2>0</formula2>
    </dataValidation>
    <dataValidation allowBlank="true" errorStyle="stop" operator="between" showDropDown="false" showErrorMessage="false" showInputMessage="false" sqref="C2:C1002" type="list">
      <formula1>"Loan/Lease Payment,Insurance,Maintenance/Repair,Tires,Cleaning/Detailing,Registration/Tax,Subscription (FSD/Connectivity),Parking/Tolls,Damage/Claim,Supplies,Other"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E8F"/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6" t="s">
        <v>75</v>
      </c>
      <c r="B1" s="6" t="s">
        <v>58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68</v>
      </c>
      <c r="I1" s="6" t="s">
        <v>69</v>
      </c>
    </row>
    <row r="2" customFormat="false" ht="15" hidden="false" customHeight="false" outlineLevel="0" collapsed="false">
      <c r="A2" s="8" t="s">
        <v>87</v>
      </c>
      <c r="B2" s="7" t="s">
        <v>44</v>
      </c>
      <c r="C2" s="7" t="s">
        <v>88</v>
      </c>
      <c r="D2" s="7" t="n">
        <v>42</v>
      </c>
      <c r="E2" s="13" t="n">
        <v>18.9</v>
      </c>
      <c r="F2" s="14" t="n">
        <f aca="false">IF(D2=0,"",E2/D2)</f>
        <v>0.45</v>
      </c>
      <c r="G2" s="7" t="n">
        <v>28650</v>
      </c>
      <c r="H2" s="11" t="str">
        <f aca="false">TEXT(A2,"yyyy-mm")</f>
        <v>2026-06</v>
      </c>
      <c r="I2" s="7"/>
    </row>
  </sheetData>
  <dataValidations count="2">
    <dataValidation allowBlank="true" errorStyle="stop" operator="between" showDropDown="false" showErrorMessage="false" showInputMessage="false" sqref="B2:B1002" type="list">
      <formula1>Vehicles!$A$2:$A$50</formula1>
      <formula2>0</formula2>
    </dataValidation>
    <dataValidation allowBlank="true" errorStyle="stop" operator="between" showDropDown="false" showErrorMessage="false" showInputMessage="false" sqref="C2:C1002" type="list">
      <formula1>"Home,Supercharger,Public/Other"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false"/>
  </sheetPr>
  <dimension ref="A1:T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20" min="5" style="0" width="16"/>
  </cols>
  <sheetData>
    <row r="1" customFormat="false" ht="19.7" hidden="false" customHeight="false" outlineLevel="0" collapsed="false">
      <c r="B1" s="15" t="s">
        <v>89</v>
      </c>
    </row>
    <row r="2" customFormat="false" ht="15" hidden="false" customHeight="false" outlineLevel="0" collapsed="false">
      <c r="B2" s="2" t="s">
        <v>90</v>
      </c>
    </row>
    <row r="4" customFormat="false" ht="15" hidden="false" customHeight="false" outlineLevel="0" collapsed="false">
      <c r="B4" s="3" t="s">
        <v>91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6" customFormat="false" ht="23.85" hidden="false" customHeight="false" outlineLevel="0" collapsed="false">
      <c r="A6" s="6"/>
      <c r="B6" s="6" t="s">
        <v>58</v>
      </c>
      <c r="C6" s="6" t="s">
        <v>92</v>
      </c>
      <c r="D6" s="6" t="s">
        <v>93</v>
      </c>
      <c r="E6" s="6" t="s">
        <v>94</v>
      </c>
      <c r="F6" s="6" t="s">
        <v>95</v>
      </c>
      <c r="G6" s="6" t="s">
        <v>96</v>
      </c>
      <c r="H6" s="6" t="s">
        <v>97</v>
      </c>
      <c r="I6" s="6" t="s">
        <v>98</v>
      </c>
      <c r="J6" s="6" t="s">
        <v>99</v>
      </c>
      <c r="K6" s="6" t="s">
        <v>100</v>
      </c>
      <c r="L6" s="6" t="s">
        <v>101</v>
      </c>
      <c r="M6" s="6" t="s">
        <v>102</v>
      </c>
      <c r="N6" s="6" t="s">
        <v>103</v>
      </c>
      <c r="O6" s="6" t="s">
        <v>104</v>
      </c>
      <c r="P6" s="6" t="s">
        <v>105</v>
      </c>
      <c r="Q6" s="6" t="s">
        <v>106</v>
      </c>
      <c r="R6" s="6" t="s">
        <v>107</v>
      </c>
      <c r="S6" s="6" t="s">
        <v>108</v>
      </c>
      <c r="T6" s="6" t="s">
        <v>109</v>
      </c>
    </row>
    <row r="7" customFormat="false" ht="15" hidden="false" customHeight="false" outlineLevel="0" collapsed="false">
      <c r="B7" s="16" t="str">
        <f aca="false">Vehicles!A2</f>
        <v>Model Y #1 - White</v>
      </c>
      <c r="C7" s="17" t="n">
        <f aca="true">TODAY()-Vehicles!C2</f>
        <v>871</v>
      </c>
      <c r="D7" s="16" t="n">
        <f aca="false">COUNTIF(Trips!$B$2:$B$2000,B7)</f>
        <v>1</v>
      </c>
      <c r="E7" s="16" t="n">
        <f aca="false">SUMIF(Trips!$B$2:$B$2000,B7,Trips!$F$2:$F$2000)</f>
        <v>4</v>
      </c>
      <c r="F7" s="18" t="n">
        <f aca="false">IFERROR(E7/C7,0)</f>
        <v>0.00459242250287026</v>
      </c>
      <c r="G7" s="19" t="n">
        <f aca="false">SUMIF(Trips!$B$2:$B$2000,B7,Trips!$G$2:$G$2000)</f>
        <v>480</v>
      </c>
      <c r="H7" s="19" t="n">
        <f aca="false">SUMIF(Trips!$B$2:$B$2000,B7,Trips!$H$2:$H$2000)</f>
        <v>360</v>
      </c>
      <c r="I7" s="19" t="n">
        <f aca="false">SUMIF(Trips!$B$2:$B$2000,B7,Trips!$I$2:$I$2000)</f>
        <v>120</v>
      </c>
      <c r="J7" s="20" t="n">
        <f aca="false">IFERROR(H7/E7,0)</f>
        <v>90</v>
      </c>
      <c r="K7" s="21" t="n">
        <f aca="false">SUMIF(Trips!$B$2:$B$2000,B7,Trips!$J$2:$J$2000)</f>
        <v>210</v>
      </c>
      <c r="L7" s="19" t="n">
        <f aca="false">SUMIF(Charging!$B$2:$B$2000,B7,Charging!$E$2:$E$2000)</f>
        <v>18.9</v>
      </c>
      <c r="M7" s="20" t="n">
        <f aca="false">IFERROR(L7/K7,0)</f>
        <v>0.09</v>
      </c>
      <c r="N7" s="19" t="n">
        <f aca="false">SUMIFS(Expenses!$E$2:$E$2000,Expenses!$B$2:$B$2000,B7,Expenses!$C$2:$C$2000,"Loan/Lease Payment")+SUMIFS(Expenses!$E$2:$E$2000,Expenses!$B$2:$B$2000,B7,Expenses!$C$2:$C$2000,"Insurance")+SUMIFS(Expenses!$E$2:$E$2000,Expenses!$B$2:$B$2000,B7,Expenses!$C$2:$C$2000,"Registration/Tax")+SUMIFS(Expenses!$E$2:$E$2000,Expenses!$B$2:$B$2000,B7,Expenses!$C$2:$C$2000,"Subscription (FSD/Connectivity)")</f>
        <v>850</v>
      </c>
      <c r="O7" s="19" t="n">
        <f aca="false">SUMIF(Expenses!$B$2:$B$2000,B7,Expenses!$E$2:$E$2000)-N7</f>
        <v>0</v>
      </c>
      <c r="P7" s="19" t="n">
        <f aca="false">N7+O7+L7</f>
        <v>868.9</v>
      </c>
      <c r="Q7" s="19" t="n">
        <f aca="false">H7-P7</f>
        <v>-508.9</v>
      </c>
      <c r="R7" s="18" t="n">
        <f aca="false">IFERROR(Q7/H7,0)</f>
        <v>-1.41361111111111</v>
      </c>
      <c r="S7" s="20" t="n">
        <f aca="false">IFERROR(Q7/C7,0)</f>
        <v>-0.584270952927669</v>
      </c>
      <c r="T7" s="18" t="n">
        <f aca="false">IFERROR(N7/(J7*C7),0)</f>
        <v>0.0108432197984437</v>
      </c>
    </row>
    <row r="8" customFormat="false" ht="15" hidden="false" customHeight="false" outlineLevel="0" collapsed="false">
      <c r="B8" s="16" t="str">
        <f aca="false">Vehicles!A3</f>
        <v>Model Y #2 - Black</v>
      </c>
      <c r="C8" s="17" t="n">
        <f aca="true">TODAY()-Vehicles!C3</f>
        <v>765</v>
      </c>
      <c r="D8" s="16" t="n">
        <f aca="false">COUNTIF(Trips!$B$2:$B$2000,B8)</f>
        <v>0</v>
      </c>
      <c r="E8" s="16" t="n">
        <f aca="false">SUMIF(Trips!$B$2:$B$2000,B8,Trips!$F$2:$F$2000)</f>
        <v>0</v>
      </c>
      <c r="F8" s="18" t="n">
        <f aca="false">IFERROR(E8/C8,0)</f>
        <v>0</v>
      </c>
      <c r="G8" s="19" t="n">
        <f aca="false">SUMIF(Trips!$B$2:$B$2000,B8,Trips!$G$2:$G$2000)</f>
        <v>0</v>
      </c>
      <c r="H8" s="19" t="n">
        <f aca="false">SUMIF(Trips!$B$2:$B$2000,B8,Trips!$H$2:$H$2000)</f>
        <v>0</v>
      </c>
      <c r="I8" s="19" t="n">
        <f aca="false">SUMIF(Trips!$B$2:$B$2000,B8,Trips!$I$2:$I$2000)</f>
        <v>0</v>
      </c>
      <c r="J8" s="20" t="n">
        <f aca="false">IFERROR(H8/E8,0)</f>
        <v>0</v>
      </c>
      <c r="K8" s="21" t="n">
        <f aca="false">SUMIF(Trips!$B$2:$B$2000,B8,Trips!$J$2:$J$2000)</f>
        <v>0</v>
      </c>
      <c r="L8" s="19" t="n">
        <f aca="false">SUMIF(Charging!$B$2:$B$2000,B8,Charging!$E$2:$E$2000)</f>
        <v>0</v>
      </c>
      <c r="M8" s="20" t="n">
        <f aca="false">IFERROR(L8/K8,0)</f>
        <v>0</v>
      </c>
      <c r="N8" s="19" t="n">
        <f aca="false">SUMIFS(Expenses!$E$2:$E$2000,Expenses!$B$2:$B$2000,B8,Expenses!$C$2:$C$2000,"Loan/Lease Payment")+SUMIFS(Expenses!$E$2:$E$2000,Expenses!$B$2:$B$2000,B8,Expenses!$C$2:$C$2000,"Insurance")+SUMIFS(Expenses!$E$2:$E$2000,Expenses!$B$2:$B$2000,B8,Expenses!$C$2:$C$2000,"Registration/Tax")+SUMIFS(Expenses!$E$2:$E$2000,Expenses!$B$2:$B$2000,B8,Expenses!$C$2:$C$2000,"Subscription (FSD/Connectivity)")</f>
        <v>0</v>
      </c>
      <c r="O8" s="19" t="n">
        <f aca="false">SUMIF(Expenses!$B$2:$B$2000,B8,Expenses!$E$2:$E$2000)-N8</f>
        <v>0</v>
      </c>
      <c r="P8" s="19" t="n">
        <f aca="false">N8+O8+L8</f>
        <v>0</v>
      </c>
      <c r="Q8" s="19" t="n">
        <f aca="false">H8-P8</f>
        <v>0</v>
      </c>
      <c r="R8" s="18" t="n">
        <f aca="false">IFERROR(Q8/H8,0)</f>
        <v>0</v>
      </c>
      <c r="S8" s="20" t="n">
        <f aca="false">IFERROR(Q8/C8,0)</f>
        <v>0</v>
      </c>
      <c r="T8" s="18" t="n">
        <f aca="false">IFERROR(N8/(J8*C8),0)</f>
        <v>0</v>
      </c>
    </row>
    <row r="9" customFormat="false" ht="15" hidden="false" customHeight="false" outlineLevel="0" collapsed="false">
      <c r="B9" s="22" t="s">
        <v>110</v>
      </c>
      <c r="C9" s="23" t="n">
        <f aca="false">SUM(C7:C8)</f>
        <v>1636</v>
      </c>
      <c r="D9" s="22" t="n">
        <f aca="false">SUM(D7:D8)</f>
        <v>1</v>
      </c>
      <c r="E9" s="22" t="n">
        <f aca="false">SUM(E7:E8)</f>
        <v>4</v>
      </c>
      <c r="F9" s="24" t="n">
        <f aca="false">IFERROR(E9/C9,0)</f>
        <v>0.00244498777506112</v>
      </c>
      <c r="G9" s="25" t="n">
        <f aca="false">SUM(G7:G8)</f>
        <v>480</v>
      </c>
      <c r="H9" s="25" t="n">
        <f aca="false">SUM(H7:H8)</f>
        <v>360</v>
      </c>
      <c r="I9" s="25" t="n">
        <f aca="false">SUM(I7:I8)</f>
        <v>120</v>
      </c>
      <c r="J9" s="26" t="n">
        <f aca="false">IFERROR(H9/E9,0)</f>
        <v>90</v>
      </c>
      <c r="K9" s="27" t="n">
        <f aca="false">SUM(K7:K8)</f>
        <v>210</v>
      </c>
      <c r="L9" s="25" t="n">
        <f aca="false">SUM(L7:L8)</f>
        <v>18.9</v>
      </c>
      <c r="M9" s="26" t="n">
        <f aca="false">IFERROR(L9/K9,0)</f>
        <v>0.09</v>
      </c>
      <c r="N9" s="25" t="n">
        <f aca="false">SUM(N7:N8)</f>
        <v>850</v>
      </c>
      <c r="O9" s="25" t="n">
        <f aca="false">SUM(O7:O8)</f>
        <v>0</v>
      </c>
      <c r="P9" s="25" t="n">
        <f aca="false">SUM(P7:P8)</f>
        <v>868.9</v>
      </c>
      <c r="Q9" s="25" t="n">
        <f aca="false">SUM(Q7:Q8)</f>
        <v>-508.9</v>
      </c>
      <c r="R9" s="24" t="n">
        <f aca="false">IFERROR(Q9/H9,0)</f>
        <v>-1.41361111111111</v>
      </c>
      <c r="S9" s="26" t="n">
        <f aca="false">IFERROR(Q9/C9,0)</f>
        <v>-0.311063569682152</v>
      </c>
      <c r="T9" s="24" t="n">
        <f aca="false">IFERROR(N9/(J9*C9),0)</f>
        <v>0.00577288780222766</v>
      </c>
    </row>
    <row r="11" customFormat="false" ht="15" hidden="false" customHeight="false" outlineLevel="0" collapsed="false">
      <c r="B11" s="3" t="s">
        <v>111</v>
      </c>
      <c r="C11" s="3"/>
      <c r="D11" s="3"/>
      <c r="E11" s="3"/>
      <c r="F11" s="3"/>
    </row>
    <row r="12" customFormat="false" ht="15" hidden="false" customHeight="false" outlineLevel="0" collapsed="false">
      <c r="A12" s="6"/>
      <c r="B12" s="6" t="s">
        <v>58</v>
      </c>
      <c r="C12" s="6" t="s">
        <v>112</v>
      </c>
      <c r="D12" s="6" t="s">
        <v>113</v>
      </c>
      <c r="E12" s="6" t="s">
        <v>43</v>
      </c>
    </row>
    <row r="13" customFormat="false" ht="15" hidden="false" customHeight="false" outlineLevel="0" collapsed="false">
      <c r="B13" s="16" t="str">
        <f aca="false">Vehicles!A2</f>
        <v>Model Y #1 - White</v>
      </c>
      <c r="C13" s="16" t="s">
        <v>114</v>
      </c>
      <c r="D13" s="16" t="str">
        <f aca="true">B13&amp;" renews "&amp;TEXT(Vehicles!O2,"mmm d, yyyy")&amp;" ("&amp;(Vehicles!O2-TODAY())&amp;" days)"</f>
        <v>Model Y #1 - White renews Mar 1, 2027 (224 days)</v>
      </c>
      <c r="E13" s="16" t="str">
        <f aca="true">IF(Vehicles!O2-TODAY()&lt;60,"Renew Soon","OK")</f>
        <v>OK</v>
      </c>
    </row>
    <row r="14" customFormat="false" ht="15" hidden="false" customHeight="false" outlineLevel="0" collapsed="false">
      <c r="B14" s="16" t="str">
        <f aca="false">Vehicles!A3</f>
        <v>Model Y #2 - Black</v>
      </c>
      <c r="C14" s="16" t="s">
        <v>114</v>
      </c>
      <c r="D14" s="16" t="str">
        <f aca="true">B14&amp;" renews "&amp;TEXT(Vehicles!O3,"mmm d, yyyy")&amp;" ("&amp;(Vehicles!O3-TODAY())&amp;" days)"</f>
        <v>Model Y #2 - Black renews Jun 15, 2027 (330 days)</v>
      </c>
      <c r="E14" s="16" t="str">
        <f aca="true">IF(Vehicles!O3-TODAY()&lt;60,"Renew Soon","OK")</f>
        <v>OK</v>
      </c>
    </row>
    <row r="15" customFormat="false" ht="15" hidden="false" customHeight="false" outlineLevel="0" collapsed="false">
      <c r="B15" s="16" t="str">
        <f aca="false">Vehicles!A2</f>
        <v>Model Y #1 - White</v>
      </c>
      <c r="C15" s="16" t="s">
        <v>115</v>
      </c>
      <c r="D15" s="16" t="str">
        <f aca="true">B15&amp;" renews "&amp;TEXT(Vehicles!P2,"mmm d, yyyy")&amp;" ("&amp;(Vehicles!P2-TODAY())&amp;" days)"</f>
        <v>Model Y #1 - White renews Mar 1, 2027 (224 days)</v>
      </c>
      <c r="E15" s="16" t="str">
        <f aca="true">IF(Vehicles!P2-TODAY()&lt;60,"Renew Soon","OK")</f>
        <v>OK</v>
      </c>
    </row>
    <row r="16" customFormat="false" ht="15" hidden="false" customHeight="false" outlineLevel="0" collapsed="false">
      <c r="B16" s="16" t="str">
        <f aca="false">Vehicles!A3</f>
        <v>Model Y #2 - Black</v>
      </c>
      <c r="C16" s="16" t="s">
        <v>115</v>
      </c>
      <c r="D16" s="16" t="str">
        <f aca="true">B16&amp;" renews "&amp;TEXT(Vehicles!P3,"mmm d, yyyy")&amp;" ("&amp;(Vehicles!P3-TODAY())&amp;" days)"</f>
        <v>Model Y #2 - Black renews Jun 15, 2027 (330 days)</v>
      </c>
      <c r="E16" s="16" t="str">
        <f aca="true">IF(Vehicles!P3-TODAY()&lt;60,"Renew Soon","OK")</f>
        <v>OK</v>
      </c>
    </row>
    <row r="17" customFormat="false" ht="15" hidden="false" customHeight="false" outlineLevel="0" collapsed="false">
      <c r="B17" s="16" t="str">
        <f aca="false">Vehicles!A2</f>
        <v>Model Y #1 - White</v>
      </c>
      <c r="C17" s="16" t="s">
        <v>116</v>
      </c>
      <c r="D17" s="16" t="str">
        <f aca="false">(Vehicles!L2-Vehicles!K2)&amp;" mi until next service"</f>
        <v>6500 mi until next service</v>
      </c>
      <c r="E17" s="16" t="str">
        <f aca="false">IF(Vehicles!L2-Vehicles!K2&lt;1000,"Due Soon","OK")</f>
        <v>OK</v>
      </c>
    </row>
    <row r="18" customFormat="false" ht="15" hidden="false" customHeight="false" outlineLevel="0" collapsed="false">
      <c r="B18" s="16" t="str">
        <f aca="false">Vehicles!A3</f>
        <v>Model Y #2 - Black</v>
      </c>
      <c r="C18" s="16" t="s">
        <v>116</v>
      </c>
      <c r="D18" s="16" t="str">
        <f aca="false">(Vehicles!L3-Vehicles!K3)&amp;" mi until next service"</f>
        <v>9000 mi until next service</v>
      </c>
      <c r="E18" s="16" t="str">
        <f aca="false">IF(Vehicles!L3-Vehicles!K3&lt;1000,"Due Soon","OK")</f>
        <v>OK</v>
      </c>
    </row>
    <row r="19" customFormat="false" ht="15" hidden="false" customHeight="false" outlineLevel="0" collapsed="false">
      <c r="B19" s="16" t="str">
        <f aca="false">Vehicles!A2</f>
        <v>Model Y #1 - White</v>
      </c>
      <c r="C19" s="16" t="s">
        <v>117</v>
      </c>
      <c r="D19" s="16" t="str">
        <f aca="false">TEXT(F7,"0.0%")&amp;" of available days booked"</f>
        <v>0.5% of available days booked</v>
      </c>
      <c r="E19" s="16" t="str">
        <f aca="false">IF(F7&lt;0.4,"Low Utilization","Healthy")</f>
        <v>Low Utilization</v>
      </c>
    </row>
    <row r="20" customFormat="false" ht="15" hidden="false" customHeight="false" outlineLevel="0" collapsed="false">
      <c r="B20" s="16" t="str">
        <f aca="false">Vehicles!A3</f>
        <v>Model Y #2 - Black</v>
      </c>
      <c r="C20" s="16" t="s">
        <v>117</v>
      </c>
      <c r="D20" s="16" t="str">
        <f aca="false">TEXT(F8,"0.0%")&amp;" of available days booked"</f>
        <v>0.0% of available days booked</v>
      </c>
      <c r="E20" s="16" t="str">
        <f aca="false">IF(F8&lt;0.4,"Low Utilization","Healthy")</f>
        <v>Low Utilization</v>
      </c>
    </row>
    <row r="21" customFormat="false" ht="15" hidden="false" customHeight="false" outlineLevel="0" collapsed="false">
      <c r="B21" s="16" t="str">
        <f aca="false">Vehicles!A2</f>
        <v>Model Y #1 - White</v>
      </c>
      <c r="C21" s="16" t="s">
        <v>118</v>
      </c>
      <c r="D21" s="16" t="str">
        <f aca="false">TEXT(R7,"0.0%")&amp;" net margin"</f>
        <v>-141.4% net margin</v>
      </c>
      <c r="E21" s="16" t="str">
        <f aca="false">IF(R7&lt;0,"Losing Money",IF(R7&lt;0.15,"Thin Margin","Healthy"))</f>
        <v>Losing Money</v>
      </c>
    </row>
    <row r="22" customFormat="false" ht="15" hidden="false" customHeight="false" outlineLevel="0" collapsed="false">
      <c r="B22" s="16" t="str">
        <f aca="false">Vehicles!A3</f>
        <v>Model Y #2 - Black</v>
      </c>
      <c r="C22" s="16" t="s">
        <v>118</v>
      </c>
      <c r="D22" s="16" t="str">
        <f aca="false">TEXT(R8,"0.0%")&amp;" net margin"</f>
        <v>0.0% net margin</v>
      </c>
      <c r="E22" s="16" t="str">
        <f aca="false">IF(R8&lt;0,"Losing Money",IF(R8&lt;0.15,"Thin Margin","Healthy"))</f>
        <v>Thin Margin</v>
      </c>
    </row>
    <row r="24" customFormat="false" ht="15" hidden="false" customHeight="false" outlineLevel="0" collapsed="false">
      <c r="B24" s="3" t="s">
        <v>119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6" customFormat="false" ht="15" hidden="false" customHeight="false" outlineLevel="0" collapsed="false">
      <c r="A26" s="6"/>
      <c r="B26" s="6" t="s">
        <v>68</v>
      </c>
      <c r="C26" s="6" t="s">
        <v>120</v>
      </c>
      <c r="D26" s="6" t="s">
        <v>121</v>
      </c>
      <c r="E26" s="6" t="s">
        <v>122</v>
      </c>
      <c r="F26" s="6" t="s">
        <v>123</v>
      </c>
      <c r="G26" s="6" t="s">
        <v>124</v>
      </c>
      <c r="H26" s="6" t="s">
        <v>125</v>
      </c>
      <c r="I26" s="6" t="s">
        <v>126</v>
      </c>
      <c r="J26" s="6" t="s">
        <v>127</v>
      </c>
      <c r="K26" s="6" t="s">
        <v>128</v>
      </c>
      <c r="L26" s="6" t="s">
        <v>129</v>
      </c>
      <c r="M26" s="6" t="s">
        <v>130</v>
      </c>
      <c r="N26" s="6" t="s">
        <v>131</v>
      </c>
      <c r="O26" s="6" t="s">
        <v>132</v>
      </c>
      <c r="P26" s="6" t="s">
        <v>133</v>
      </c>
    </row>
    <row r="27" customFormat="false" ht="15" hidden="false" customHeight="false" outlineLevel="0" collapsed="false">
      <c r="B27" s="28" t="n">
        <f aca="true">EDATE(TODAY(),-11)</f>
        <v>45889</v>
      </c>
      <c r="C27" s="16" t="str">
        <f aca="false">TEXT(B27,"mmm-yy")</f>
        <v>Aug-25</v>
      </c>
      <c r="D27" s="16" t="str">
        <f aca="false">TEXT(B27,"yyyy-mm")</f>
        <v>2025-08</v>
      </c>
      <c r="E27" s="19" t="n">
        <f aca="false">SUMIFS(Trips!$H$2:$H$2000,Trips!$B$2:$B$2000,$B$7,Trips!$L$2:$L$2000,D27)</f>
        <v>0</v>
      </c>
      <c r="F27" s="19" t="n">
        <f aca="false">SUMIFS(Expenses!$E$2:$E$2000,Expenses!$B$2:$B$2000,$B$7,Expenses!$F$2:$F$2000,D27)+SUMIFS(Charging!$E$2:$E$2000,Charging!$B$2:$B$2000,$B$7,Charging!$H$2:$H$2000,D27)</f>
        <v>0</v>
      </c>
      <c r="G27" s="19" t="n">
        <f aca="false">E27-F27</f>
        <v>0</v>
      </c>
      <c r="H27" s="18" t="n">
        <f aca="false">IFERROR(SUMIFS(Trips!$F$2:$F$2000,Trips!$B$2:$B$2000,$B$7,Trips!$L$2:$L$2000,D27)/DAY(EOMONTH(B27,0)),0)</f>
        <v>0</v>
      </c>
      <c r="I27" s="19" t="n">
        <f aca="false">SUMIFS(Trips!$H$2:$H$2000,Trips!$B$2:$B$2000,$B$8,Trips!$L$2:$L$2000,D27)</f>
        <v>0</v>
      </c>
      <c r="J27" s="19" t="n">
        <f aca="false">SUMIFS(Expenses!$E$2:$E$2000,Expenses!$B$2:$B$2000,$B$8,Expenses!$F$2:$F$2000,D27)+SUMIFS(Charging!$E$2:$E$2000,Charging!$B$2:$B$2000,$B$8,Charging!$H$2:$H$2000,D27)</f>
        <v>0</v>
      </c>
      <c r="K27" s="19" t="n">
        <f aca="false">I27-J27</f>
        <v>0</v>
      </c>
      <c r="L27" s="18" t="n">
        <f aca="false">IFERROR(SUMIFS(Trips!$F$2:$F$2000,Trips!$B$2:$B$2000,$B$8,Trips!$L$2:$L$2000,D27)/DAY(EOMONTH(B27,0)),0)</f>
        <v>0</v>
      </c>
      <c r="M27" s="19" t="n">
        <f aca="false">E27+I27</f>
        <v>0</v>
      </c>
      <c r="N27" s="19" t="n">
        <f aca="false">F27+J27</f>
        <v>0</v>
      </c>
      <c r="O27" s="19" t="n">
        <f aca="false">G27+K27</f>
        <v>0</v>
      </c>
      <c r="P27" s="18" t="n">
        <f aca="false">IFERROR(SUMIFS(Trips!$F$2:$F$2000,Trips!$L$2:$L$2000,D27)/(COUNTA(Vehicles!$A$2:$A$50)*DAY(EOMONTH(B27,0))),0)</f>
        <v>0</v>
      </c>
    </row>
    <row r="28" customFormat="false" ht="15" hidden="false" customHeight="false" outlineLevel="0" collapsed="false">
      <c r="B28" s="28" t="n">
        <f aca="false">EDATE(B27,1)</f>
        <v>45920</v>
      </c>
      <c r="C28" s="16" t="str">
        <f aca="false">TEXT(B28,"mmm-yy")</f>
        <v>Sep-25</v>
      </c>
      <c r="D28" s="16" t="str">
        <f aca="false">TEXT(B28,"yyyy-mm")</f>
        <v>2025-09</v>
      </c>
      <c r="E28" s="19" t="n">
        <f aca="false">SUMIFS(Trips!$H$2:$H$2000,Trips!$B$2:$B$2000,$B$7,Trips!$L$2:$L$2000,D28)</f>
        <v>0</v>
      </c>
      <c r="F28" s="19" t="n">
        <f aca="false">SUMIFS(Expenses!$E$2:$E$2000,Expenses!$B$2:$B$2000,$B$7,Expenses!$F$2:$F$2000,D28)+SUMIFS(Charging!$E$2:$E$2000,Charging!$B$2:$B$2000,$B$7,Charging!$H$2:$H$2000,D28)</f>
        <v>0</v>
      </c>
      <c r="G28" s="19" t="n">
        <f aca="false">E28-F28</f>
        <v>0</v>
      </c>
      <c r="H28" s="18" t="n">
        <f aca="false">IFERROR(SUMIFS(Trips!$F$2:$F$2000,Trips!$B$2:$B$2000,$B$7,Trips!$L$2:$L$2000,D28)/DAY(EOMONTH(B28,0)),0)</f>
        <v>0</v>
      </c>
      <c r="I28" s="19" t="n">
        <f aca="false">SUMIFS(Trips!$H$2:$H$2000,Trips!$B$2:$B$2000,$B$8,Trips!$L$2:$L$2000,D28)</f>
        <v>0</v>
      </c>
      <c r="J28" s="19" t="n">
        <f aca="false">SUMIFS(Expenses!$E$2:$E$2000,Expenses!$B$2:$B$2000,$B$8,Expenses!$F$2:$F$2000,D28)+SUMIFS(Charging!$E$2:$E$2000,Charging!$B$2:$B$2000,$B$8,Charging!$H$2:$H$2000,D28)</f>
        <v>0</v>
      </c>
      <c r="K28" s="19" t="n">
        <f aca="false">I28-J28</f>
        <v>0</v>
      </c>
      <c r="L28" s="18" t="n">
        <f aca="false">IFERROR(SUMIFS(Trips!$F$2:$F$2000,Trips!$B$2:$B$2000,$B$8,Trips!$L$2:$L$2000,D28)/DAY(EOMONTH(B28,0)),0)</f>
        <v>0</v>
      </c>
      <c r="M28" s="19" t="n">
        <f aca="false">E28+I28</f>
        <v>0</v>
      </c>
      <c r="N28" s="19" t="n">
        <f aca="false">F28+J28</f>
        <v>0</v>
      </c>
      <c r="O28" s="19" t="n">
        <f aca="false">G28+K28</f>
        <v>0</v>
      </c>
      <c r="P28" s="18" t="n">
        <f aca="false">IFERROR(SUMIFS(Trips!$F$2:$F$2000,Trips!$L$2:$L$2000,D28)/(COUNTA(Vehicles!$A$2:$A$50)*DAY(EOMONTH(B28,0))),0)</f>
        <v>0</v>
      </c>
    </row>
    <row r="29" customFormat="false" ht="15" hidden="false" customHeight="false" outlineLevel="0" collapsed="false">
      <c r="B29" s="28" t="n">
        <f aca="false">EDATE(B28,1)</f>
        <v>45950</v>
      </c>
      <c r="C29" s="16" t="str">
        <f aca="false">TEXT(B29,"mmm-yy")</f>
        <v>Oct-25</v>
      </c>
      <c r="D29" s="16" t="str">
        <f aca="false">TEXT(B29,"yyyy-mm")</f>
        <v>2025-10</v>
      </c>
      <c r="E29" s="19" t="n">
        <f aca="false">SUMIFS(Trips!$H$2:$H$2000,Trips!$B$2:$B$2000,$B$7,Trips!$L$2:$L$2000,D29)</f>
        <v>0</v>
      </c>
      <c r="F29" s="19" t="n">
        <f aca="false">SUMIFS(Expenses!$E$2:$E$2000,Expenses!$B$2:$B$2000,$B$7,Expenses!$F$2:$F$2000,D29)+SUMIFS(Charging!$E$2:$E$2000,Charging!$B$2:$B$2000,$B$7,Charging!$H$2:$H$2000,D29)</f>
        <v>0</v>
      </c>
      <c r="G29" s="19" t="n">
        <f aca="false">E29-F29</f>
        <v>0</v>
      </c>
      <c r="H29" s="18" t="n">
        <f aca="false">IFERROR(SUMIFS(Trips!$F$2:$F$2000,Trips!$B$2:$B$2000,$B$7,Trips!$L$2:$L$2000,D29)/DAY(EOMONTH(B29,0)),0)</f>
        <v>0</v>
      </c>
      <c r="I29" s="19" t="n">
        <f aca="false">SUMIFS(Trips!$H$2:$H$2000,Trips!$B$2:$B$2000,$B$8,Trips!$L$2:$L$2000,D29)</f>
        <v>0</v>
      </c>
      <c r="J29" s="19" t="n">
        <f aca="false">SUMIFS(Expenses!$E$2:$E$2000,Expenses!$B$2:$B$2000,$B$8,Expenses!$F$2:$F$2000,D29)+SUMIFS(Charging!$E$2:$E$2000,Charging!$B$2:$B$2000,$B$8,Charging!$H$2:$H$2000,D29)</f>
        <v>0</v>
      </c>
      <c r="K29" s="19" t="n">
        <f aca="false">I29-J29</f>
        <v>0</v>
      </c>
      <c r="L29" s="18" t="n">
        <f aca="false">IFERROR(SUMIFS(Trips!$F$2:$F$2000,Trips!$B$2:$B$2000,$B$8,Trips!$L$2:$L$2000,D29)/DAY(EOMONTH(B29,0)),0)</f>
        <v>0</v>
      </c>
      <c r="M29" s="19" t="n">
        <f aca="false">E29+I29</f>
        <v>0</v>
      </c>
      <c r="N29" s="19" t="n">
        <f aca="false">F29+J29</f>
        <v>0</v>
      </c>
      <c r="O29" s="19" t="n">
        <f aca="false">G29+K29</f>
        <v>0</v>
      </c>
      <c r="P29" s="18" t="n">
        <f aca="false">IFERROR(SUMIFS(Trips!$F$2:$F$2000,Trips!$L$2:$L$2000,D29)/(COUNTA(Vehicles!$A$2:$A$50)*DAY(EOMONTH(B29,0))),0)</f>
        <v>0</v>
      </c>
    </row>
    <row r="30" customFormat="false" ht="15" hidden="false" customHeight="false" outlineLevel="0" collapsed="false">
      <c r="B30" s="28" t="n">
        <f aca="false">EDATE(B29,1)</f>
        <v>45981</v>
      </c>
      <c r="C30" s="16" t="str">
        <f aca="false">TEXT(B30,"mmm-yy")</f>
        <v>Nov-25</v>
      </c>
      <c r="D30" s="16" t="str">
        <f aca="false">TEXT(B30,"yyyy-mm")</f>
        <v>2025-11</v>
      </c>
      <c r="E30" s="19" t="n">
        <f aca="false">SUMIFS(Trips!$H$2:$H$2000,Trips!$B$2:$B$2000,$B$7,Trips!$L$2:$L$2000,D30)</f>
        <v>0</v>
      </c>
      <c r="F30" s="19" t="n">
        <f aca="false">SUMIFS(Expenses!$E$2:$E$2000,Expenses!$B$2:$B$2000,$B$7,Expenses!$F$2:$F$2000,D30)+SUMIFS(Charging!$E$2:$E$2000,Charging!$B$2:$B$2000,$B$7,Charging!$H$2:$H$2000,D30)</f>
        <v>0</v>
      </c>
      <c r="G30" s="19" t="n">
        <f aca="false">E30-F30</f>
        <v>0</v>
      </c>
      <c r="H30" s="18" t="n">
        <f aca="false">IFERROR(SUMIFS(Trips!$F$2:$F$2000,Trips!$B$2:$B$2000,$B$7,Trips!$L$2:$L$2000,D30)/DAY(EOMONTH(B30,0)),0)</f>
        <v>0</v>
      </c>
      <c r="I30" s="19" t="n">
        <f aca="false">SUMIFS(Trips!$H$2:$H$2000,Trips!$B$2:$B$2000,$B$8,Trips!$L$2:$L$2000,D30)</f>
        <v>0</v>
      </c>
      <c r="J30" s="19" t="n">
        <f aca="false">SUMIFS(Expenses!$E$2:$E$2000,Expenses!$B$2:$B$2000,$B$8,Expenses!$F$2:$F$2000,D30)+SUMIFS(Charging!$E$2:$E$2000,Charging!$B$2:$B$2000,$B$8,Charging!$H$2:$H$2000,D30)</f>
        <v>0</v>
      </c>
      <c r="K30" s="19" t="n">
        <f aca="false">I30-J30</f>
        <v>0</v>
      </c>
      <c r="L30" s="18" t="n">
        <f aca="false">IFERROR(SUMIFS(Trips!$F$2:$F$2000,Trips!$B$2:$B$2000,$B$8,Trips!$L$2:$L$2000,D30)/DAY(EOMONTH(B30,0)),0)</f>
        <v>0</v>
      </c>
      <c r="M30" s="19" t="n">
        <f aca="false">E30+I30</f>
        <v>0</v>
      </c>
      <c r="N30" s="19" t="n">
        <f aca="false">F30+J30</f>
        <v>0</v>
      </c>
      <c r="O30" s="19" t="n">
        <f aca="false">G30+K30</f>
        <v>0</v>
      </c>
      <c r="P30" s="18" t="n">
        <f aca="false">IFERROR(SUMIFS(Trips!$F$2:$F$2000,Trips!$L$2:$L$2000,D30)/(COUNTA(Vehicles!$A$2:$A$50)*DAY(EOMONTH(B30,0))),0)</f>
        <v>0</v>
      </c>
    </row>
    <row r="31" customFormat="false" ht="15" hidden="false" customHeight="false" outlineLevel="0" collapsed="false">
      <c r="B31" s="28" t="n">
        <f aca="false">EDATE(B30,1)</f>
        <v>46011</v>
      </c>
      <c r="C31" s="16" t="str">
        <f aca="false">TEXT(B31,"mmm-yy")</f>
        <v>Dec-25</v>
      </c>
      <c r="D31" s="16" t="str">
        <f aca="false">TEXT(B31,"yyyy-mm")</f>
        <v>2025-12</v>
      </c>
      <c r="E31" s="19" t="n">
        <f aca="false">SUMIFS(Trips!$H$2:$H$2000,Trips!$B$2:$B$2000,$B$7,Trips!$L$2:$L$2000,D31)</f>
        <v>0</v>
      </c>
      <c r="F31" s="19" t="n">
        <f aca="false">SUMIFS(Expenses!$E$2:$E$2000,Expenses!$B$2:$B$2000,$B$7,Expenses!$F$2:$F$2000,D31)+SUMIFS(Charging!$E$2:$E$2000,Charging!$B$2:$B$2000,$B$7,Charging!$H$2:$H$2000,D31)</f>
        <v>0</v>
      </c>
      <c r="G31" s="19" t="n">
        <f aca="false">E31-F31</f>
        <v>0</v>
      </c>
      <c r="H31" s="18" t="n">
        <f aca="false">IFERROR(SUMIFS(Trips!$F$2:$F$2000,Trips!$B$2:$B$2000,$B$7,Trips!$L$2:$L$2000,D31)/DAY(EOMONTH(B31,0)),0)</f>
        <v>0</v>
      </c>
      <c r="I31" s="19" t="n">
        <f aca="false">SUMIFS(Trips!$H$2:$H$2000,Trips!$B$2:$B$2000,$B$8,Trips!$L$2:$L$2000,D31)</f>
        <v>0</v>
      </c>
      <c r="J31" s="19" t="n">
        <f aca="false">SUMIFS(Expenses!$E$2:$E$2000,Expenses!$B$2:$B$2000,$B$8,Expenses!$F$2:$F$2000,D31)+SUMIFS(Charging!$E$2:$E$2000,Charging!$B$2:$B$2000,$B$8,Charging!$H$2:$H$2000,D31)</f>
        <v>0</v>
      </c>
      <c r="K31" s="19" t="n">
        <f aca="false">I31-J31</f>
        <v>0</v>
      </c>
      <c r="L31" s="18" t="n">
        <f aca="false">IFERROR(SUMIFS(Trips!$F$2:$F$2000,Trips!$B$2:$B$2000,$B$8,Trips!$L$2:$L$2000,D31)/DAY(EOMONTH(B31,0)),0)</f>
        <v>0</v>
      </c>
      <c r="M31" s="19" t="n">
        <f aca="false">E31+I31</f>
        <v>0</v>
      </c>
      <c r="N31" s="19" t="n">
        <f aca="false">F31+J31</f>
        <v>0</v>
      </c>
      <c r="O31" s="19" t="n">
        <f aca="false">G31+K31</f>
        <v>0</v>
      </c>
      <c r="P31" s="18" t="n">
        <f aca="false">IFERROR(SUMIFS(Trips!$F$2:$F$2000,Trips!$L$2:$L$2000,D31)/(COUNTA(Vehicles!$A$2:$A$50)*DAY(EOMONTH(B31,0))),0)</f>
        <v>0</v>
      </c>
    </row>
    <row r="32" customFormat="false" ht="15" hidden="false" customHeight="false" outlineLevel="0" collapsed="false">
      <c r="B32" s="28" t="n">
        <f aca="false">EDATE(B31,1)</f>
        <v>46042</v>
      </c>
      <c r="C32" s="16" t="str">
        <f aca="false">TEXT(B32,"mmm-yy")</f>
        <v>Jan-26</v>
      </c>
      <c r="D32" s="16" t="str">
        <f aca="false">TEXT(B32,"yyyy-mm")</f>
        <v>2026-01</v>
      </c>
      <c r="E32" s="19" t="n">
        <f aca="false">SUMIFS(Trips!$H$2:$H$2000,Trips!$B$2:$B$2000,$B$7,Trips!$L$2:$L$2000,D32)</f>
        <v>0</v>
      </c>
      <c r="F32" s="19" t="n">
        <f aca="false">SUMIFS(Expenses!$E$2:$E$2000,Expenses!$B$2:$B$2000,$B$7,Expenses!$F$2:$F$2000,D32)+SUMIFS(Charging!$E$2:$E$2000,Charging!$B$2:$B$2000,$B$7,Charging!$H$2:$H$2000,D32)</f>
        <v>0</v>
      </c>
      <c r="G32" s="19" t="n">
        <f aca="false">E32-F32</f>
        <v>0</v>
      </c>
      <c r="H32" s="18" t="n">
        <f aca="false">IFERROR(SUMIFS(Trips!$F$2:$F$2000,Trips!$B$2:$B$2000,$B$7,Trips!$L$2:$L$2000,D32)/DAY(EOMONTH(B32,0)),0)</f>
        <v>0</v>
      </c>
      <c r="I32" s="19" t="n">
        <f aca="false">SUMIFS(Trips!$H$2:$H$2000,Trips!$B$2:$B$2000,$B$8,Trips!$L$2:$L$2000,D32)</f>
        <v>0</v>
      </c>
      <c r="J32" s="19" t="n">
        <f aca="false">SUMIFS(Expenses!$E$2:$E$2000,Expenses!$B$2:$B$2000,$B$8,Expenses!$F$2:$F$2000,D32)+SUMIFS(Charging!$E$2:$E$2000,Charging!$B$2:$B$2000,$B$8,Charging!$H$2:$H$2000,D32)</f>
        <v>0</v>
      </c>
      <c r="K32" s="19" t="n">
        <f aca="false">I32-J32</f>
        <v>0</v>
      </c>
      <c r="L32" s="18" t="n">
        <f aca="false">IFERROR(SUMIFS(Trips!$F$2:$F$2000,Trips!$B$2:$B$2000,$B$8,Trips!$L$2:$L$2000,D32)/DAY(EOMONTH(B32,0)),0)</f>
        <v>0</v>
      </c>
      <c r="M32" s="19" t="n">
        <f aca="false">E32+I32</f>
        <v>0</v>
      </c>
      <c r="N32" s="19" t="n">
        <f aca="false">F32+J32</f>
        <v>0</v>
      </c>
      <c r="O32" s="19" t="n">
        <f aca="false">G32+K32</f>
        <v>0</v>
      </c>
      <c r="P32" s="18" t="n">
        <f aca="false">IFERROR(SUMIFS(Trips!$F$2:$F$2000,Trips!$L$2:$L$2000,D32)/(COUNTA(Vehicles!$A$2:$A$50)*DAY(EOMONTH(B32,0))),0)</f>
        <v>0</v>
      </c>
    </row>
    <row r="33" customFormat="false" ht="15" hidden="false" customHeight="false" outlineLevel="0" collapsed="false">
      <c r="B33" s="28" t="n">
        <f aca="false">EDATE(B32,1)</f>
        <v>46073</v>
      </c>
      <c r="C33" s="16" t="str">
        <f aca="false">TEXT(B33,"mmm-yy")</f>
        <v>Feb-26</v>
      </c>
      <c r="D33" s="16" t="str">
        <f aca="false">TEXT(B33,"yyyy-mm")</f>
        <v>2026-02</v>
      </c>
      <c r="E33" s="19" t="n">
        <f aca="false">SUMIFS(Trips!$H$2:$H$2000,Trips!$B$2:$B$2000,$B$7,Trips!$L$2:$L$2000,D33)</f>
        <v>0</v>
      </c>
      <c r="F33" s="19" t="n">
        <f aca="false">SUMIFS(Expenses!$E$2:$E$2000,Expenses!$B$2:$B$2000,$B$7,Expenses!$F$2:$F$2000,D33)+SUMIFS(Charging!$E$2:$E$2000,Charging!$B$2:$B$2000,$B$7,Charging!$H$2:$H$2000,D33)</f>
        <v>0</v>
      </c>
      <c r="G33" s="19" t="n">
        <f aca="false">E33-F33</f>
        <v>0</v>
      </c>
      <c r="H33" s="18" t="n">
        <f aca="false">IFERROR(SUMIFS(Trips!$F$2:$F$2000,Trips!$B$2:$B$2000,$B$7,Trips!$L$2:$L$2000,D33)/DAY(EOMONTH(B33,0)),0)</f>
        <v>0</v>
      </c>
      <c r="I33" s="19" t="n">
        <f aca="false">SUMIFS(Trips!$H$2:$H$2000,Trips!$B$2:$B$2000,$B$8,Trips!$L$2:$L$2000,D33)</f>
        <v>0</v>
      </c>
      <c r="J33" s="19" t="n">
        <f aca="false">SUMIFS(Expenses!$E$2:$E$2000,Expenses!$B$2:$B$2000,$B$8,Expenses!$F$2:$F$2000,D33)+SUMIFS(Charging!$E$2:$E$2000,Charging!$B$2:$B$2000,$B$8,Charging!$H$2:$H$2000,D33)</f>
        <v>0</v>
      </c>
      <c r="K33" s="19" t="n">
        <f aca="false">I33-J33</f>
        <v>0</v>
      </c>
      <c r="L33" s="18" t="n">
        <f aca="false">IFERROR(SUMIFS(Trips!$F$2:$F$2000,Trips!$B$2:$B$2000,$B$8,Trips!$L$2:$L$2000,D33)/DAY(EOMONTH(B33,0)),0)</f>
        <v>0</v>
      </c>
      <c r="M33" s="19" t="n">
        <f aca="false">E33+I33</f>
        <v>0</v>
      </c>
      <c r="N33" s="19" t="n">
        <f aca="false">F33+J33</f>
        <v>0</v>
      </c>
      <c r="O33" s="19" t="n">
        <f aca="false">G33+K33</f>
        <v>0</v>
      </c>
      <c r="P33" s="18" t="n">
        <f aca="false">IFERROR(SUMIFS(Trips!$F$2:$F$2000,Trips!$L$2:$L$2000,D33)/(COUNTA(Vehicles!$A$2:$A$50)*DAY(EOMONTH(B33,0))),0)</f>
        <v>0</v>
      </c>
    </row>
    <row r="34" customFormat="false" ht="15" hidden="false" customHeight="false" outlineLevel="0" collapsed="false">
      <c r="B34" s="28" t="n">
        <f aca="false">EDATE(B33,1)</f>
        <v>46101</v>
      </c>
      <c r="C34" s="16" t="str">
        <f aca="false">TEXT(B34,"mmm-yy")</f>
        <v>Mar-26</v>
      </c>
      <c r="D34" s="16" t="str">
        <f aca="false">TEXT(B34,"yyyy-mm")</f>
        <v>2026-03</v>
      </c>
      <c r="E34" s="19" t="n">
        <f aca="false">SUMIFS(Trips!$H$2:$H$2000,Trips!$B$2:$B$2000,$B$7,Trips!$L$2:$L$2000,D34)</f>
        <v>0</v>
      </c>
      <c r="F34" s="19" t="n">
        <f aca="false">SUMIFS(Expenses!$E$2:$E$2000,Expenses!$B$2:$B$2000,$B$7,Expenses!$F$2:$F$2000,D34)+SUMIFS(Charging!$E$2:$E$2000,Charging!$B$2:$B$2000,$B$7,Charging!$H$2:$H$2000,D34)</f>
        <v>0</v>
      </c>
      <c r="G34" s="19" t="n">
        <f aca="false">E34-F34</f>
        <v>0</v>
      </c>
      <c r="H34" s="18" t="n">
        <f aca="false">IFERROR(SUMIFS(Trips!$F$2:$F$2000,Trips!$B$2:$B$2000,$B$7,Trips!$L$2:$L$2000,D34)/DAY(EOMONTH(B34,0)),0)</f>
        <v>0</v>
      </c>
      <c r="I34" s="19" t="n">
        <f aca="false">SUMIFS(Trips!$H$2:$H$2000,Trips!$B$2:$B$2000,$B$8,Trips!$L$2:$L$2000,D34)</f>
        <v>0</v>
      </c>
      <c r="J34" s="19" t="n">
        <f aca="false">SUMIFS(Expenses!$E$2:$E$2000,Expenses!$B$2:$B$2000,$B$8,Expenses!$F$2:$F$2000,D34)+SUMIFS(Charging!$E$2:$E$2000,Charging!$B$2:$B$2000,$B$8,Charging!$H$2:$H$2000,D34)</f>
        <v>0</v>
      </c>
      <c r="K34" s="19" t="n">
        <f aca="false">I34-J34</f>
        <v>0</v>
      </c>
      <c r="L34" s="18" t="n">
        <f aca="false">IFERROR(SUMIFS(Trips!$F$2:$F$2000,Trips!$B$2:$B$2000,$B$8,Trips!$L$2:$L$2000,D34)/DAY(EOMONTH(B34,0)),0)</f>
        <v>0</v>
      </c>
      <c r="M34" s="19" t="n">
        <f aca="false">E34+I34</f>
        <v>0</v>
      </c>
      <c r="N34" s="19" t="n">
        <f aca="false">F34+J34</f>
        <v>0</v>
      </c>
      <c r="O34" s="19" t="n">
        <f aca="false">G34+K34</f>
        <v>0</v>
      </c>
      <c r="P34" s="18" t="n">
        <f aca="false">IFERROR(SUMIFS(Trips!$F$2:$F$2000,Trips!$L$2:$L$2000,D34)/(COUNTA(Vehicles!$A$2:$A$50)*DAY(EOMONTH(B34,0))),0)</f>
        <v>0</v>
      </c>
    </row>
    <row r="35" customFormat="false" ht="15" hidden="false" customHeight="false" outlineLevel="0" collapsed="false">
      <c r="B35" s="28" t="n">
        <f aca="false">EDATE(B34,1)</f>
        <v>46132</v>
      </c>
      <c r="C35" s="16" t="str">
        <f aca="false">TEXT(B35,"mmm-yy")</f>
        <v>Apr-26</v>
      </c>
      <c r="D35" s="16" t="str">
        <f aca="false">TEXT(B35,"yyyy-mm")</f>
        <v>2026-04</v>
      </c>
      <c r="E35" s="19" t="n">
        <f aca="false">SUMIFS(Trips!$H$2:$H$2000,Trips!$B$2:$B$2000,$B$7,Trips!$L$2:$L$2000,D35)</f>
        <v>0</v>
      </c>
      <c r="F35" s="19" t="n">
        <f aca="false">SUMIFS(Expenses!$E$2:$E$2000,Expenses!$B$2:$B$2000,$B$7,Expenses!$F$2:$F$2000,D35)+SUMIFS(Charging!$E$2:$E$2000,Charging!$B$2:$B$2000,$B$7,Charging!$H$2:$H$2000,D35)</f>
        <v>0</v>
      </c>
      <c r="G35" s="19" t="n">
        <f aca="false">E35-F35</f>
        <v>0</v>
      </c>
      <c r="H35" s="18" t="n">
        <f aca="false">IFERROR(SUMIFS(Trips!$F$2:$F$2000,Trips!$B$2:$B$2000,$B$7,Trips!$L$2:$L$2000,D35)/DAY(EOMONTH(B35,0)),0)</f>
        <v>0</v>
      </c>
      <c r="I35" s="19" t="n">
        <f aca="false">SUMIFS(Trips!$H$2:$H$2000,Trips!$B$2:$B$2000,$B$8,Trips!$L$2:$L$2000,D35)</f>
        <v>0</v>
      </c>
      <c r="J35" s="19" t="n">
        <f aca="false">SUMIFS(Expenses!$E$2:$E$2000,Expenses!$B$2:$B$2000,$B$8,Expenses!$F$2:$F$2000,D35)+SUMIFS(Charging!$E$2:$E$2000,Charging!$B$2:$B$2000,$B$8,Charging!$H$2:$H$2000,D35)</f>
        <v>0</v>
      </c>
      <c r="K35" s="19" t="n">
        <f aca="false">I35-J35</f>
        <v>0</v>
      </c>
      <c r="L35" s="18" t="n">
        <f aca="false">IFERROR(SUMIFS(Trips!$F$2:$F$2000,Trips!$B$2:$B$2000,$B$8,Trips!$L$2:$L$2000,D35)/DAY(EOMONTH(B35,0)),0)</f>
        <v>0</v>
      </c>
      <c r="M35" s="19" t="n">
        <f aca="false">E35+I35</f>
        <v>0</v>
      </c>
      <c r="N35" s="19" t="n">
        <f aca="false">F35+J35</f>
        <v>0</v>
      </c>
      <c r="O35" s="19" t="n">
        <f aca="false">G35+K35</f>
        <v>0</v>
      </c>
      <c r="P35" s="18" t="n">
        <f aca="false">IFERROR(SUMIFS(Trips!$F$2:$F$2000,Trips!$L$2:$L$2000,D35)/(COUNTA(Vehicles!$A$2:$A$50)*DAY(EOMONTH(B35,0))),0)</f>
        <v>0</v>
      </c>
    </row>
    <row r="36" customFormat="false" ht="15" hidden="false" customHeight="false" outlineLevel="0" collapsed="false">
      <c r="B36" s="28" t="n">
        <f aca="false">EDATE(B35,1)</f>
        <v>46162</v>
      </c>
      <c r="C36" s="16" t="str">
        <f aca="false">TEXT(B36,"mmm-yy")</f>
        <v>May-26</v>
      </c>
      <c r="D36" s="16" t="str">
        <f aca="false">TEXT(B36,"yyyy-mm")</f>
        <v>2026-05</v>
      </c>
      <c r="E36" s="19" t="n">
        <f aca="false">SUMIFS(Trips!$H$2:$H$2000,Trips!$B$2:$B$2000,$B$7,Trips!$L$2:$L$2000,D36)</f>
        <v>0</v>
      </c>
      <c r="F36" s="19" t="n">
        <f aca="false">SUMIFS(Expenses!$E$2:$E$2000,Expenses!$B$2:$B$2000,$B$7,Expenses!$F$2:$F$2000,D36)+SUMIFS(Charging!$E$2:$E$2000,Charging!$B$2:$B$2000,$B$7,Charging!$H$2:$H$2000,D36)</f>
        <v>0</v>
      </c>
      <c r="G36" s="19" t="n">
        <f aca="false">E36-F36</f>
        <v>0</v>
      </c>
      <c r="H36" s="18" t="n">
        <f aca="false">IFERROR(SUMIFS(Trips!$F$2:$F$2000,Trips!$B$2:$B$2000,$B$7,Trips!$L$2:$L$2000,D36)/DAY(EOMONTH(B36,0)),0)</f>
        <v>0</v>
      </c>
      <c r="I36" s="19" t="n">
        <f aca="false">SUMIFS(Trips!$H$2:$H$2000,Trips!$B$2:$B$2000,$B$8,Trips!$L$2:$L$2000,D36)</f>
        <v>0</v>
      </c>
      <c r="J36" s="19" t="n">
        <f aca="false">SUMIFS(Expenses!$E$2:$E$2000,Expenses!$B$2:$B$2000,$B$8,Expenses!$F$2:$F$2000,D36)+SUMIFS(Charging!$E$2:$E$2000,Charging!$B$2:$B$2000,$B$8,Charging!$H$2:$H$2000,D36)</f>
        <v>0</v>
      </c>
      <c r="K36" s="19" t="n">
        <f aca="false">I36-J36</f>
        <v>0</v>
      </c>
      <c r="L36" s="18" t="n">
        <f aca="false">IFERROR(SUMIFS(Trips!$F$2:$F$2000,Trips!$B$2:$B$2000,$B$8,Trips!$L$2:$L$2000,D36)/DAY(EOMONTH(B36,0)),0)</f>
        <v>0</v>
      </c>
      <c r="M36" s="19" t="n">
        <f aca="false">E36+I36</f>
        <v>0</v>
      </c>
      <c r="N36" s="19" t="n">
        <f aca="false">F36+J36</f>
        <v>0</v>
      </c>
      <c r="O36" s="19" t="n">
        <f aca="false">G36+K36</f>
        <v>0</v>
      </c>
      <c r="P36" s="18" t="n">
        <f aca="false">IFERROR(SUMIFS(Trips!$F$2:$F$2000,Trips!$L$2:$L$2000,D36)/(COUNTA(Vehicles!$A$2:$A$50)*DAY(EOMONTH(B36,0))),0)</f>
        <v>0</v>
      </c>
    </row>
    <row r="37" customFormat="false" ht="15" hidden="false" customHeight="false" outlineLevel="0" collapsed="false">
      <c r="B37" s="28" t="n">
        <f aca="false">EDATE(B36,1)</f>
        <v>46193</v>
      </c>
      <c r="C37" s="16" t="str">
        <f aca="false">TEXT(B37,"mmm-yy")</f>
        <v>Jun-26</v>
      </c>
      <c r="D37" s="16" t="str">
        <f aca="false">TEXT(B37,"yyyy-mm")</f>
        <v>2026-06</v>
      </c>
      <c r="E37" s="19" t="n">
        <f aca="false">SUMIFS(Trips!$H$2:$H$2000,Trips!$B$2:$B$2000,$B$7,Trips!$L$2:$L$2000,D37)</f>
        <v>360</v>
      </c>
      <c r="F37" s="19" t="n">
        <f aca="false">SUMIFS(Expenses!$E$2:$E$2000,Expenses!$B$2:$B$2000,$B$7,Expenses!$F$2:$F$2000,D37)+SUMIFS(Charging!$E$2:$E$2000,Charging!$B$2:$B$2000,$B$7,Charging!$H$2:$H$2000,D37)</f>
        <v>868.9</v>
      </c>
      <c r="G37" s="19" t="n">
        <f aca="false">E37-F37</f>
        <v>-508.9</v>
      </c>
      <c r="H37" s="18" t="n">
        <f aca="false">IFERROR(SUMIFS(Trips!$F$2:$F$2000,Trips!$B$2:$B$2000,$B$7,Trips!$L$2:$L$2000,D37)/DAY(EOMONTH(B37,0)),0)</f>
        <v>0.133333333333333</v>
      </c>
      <c r="I37" s="19" t="n">
        <f aca="false">SUMIFS(Trips!$H$2:$H$2000,Trips!$B$2:$B$2000,$B$8,Trips!$L$2:$L$2000,D37)</f>
        <v>0</v>
      </c>
      <c r="J37" s="19" t="n">
        <f aca="false">SUMIFS(Expenses!$E$2:$E$2000,Expenses!$B$2:$B$2000,$B$8,Expenses!$F$2:$F$2000,D37)+SUMIFS(Charging!$E$2:$E$2000,Charging!$B$2:$B$2000,$B$8,Charging!$H$2:$H$2000,D37)</f>
        <v>0</v>
      </c>
      <c r="K37" s="19" t="n">
        <f aca="false">I37-J37</f>
        <v>0</v>
      </c>
      <c r="L37" s="18" t="n">
        <f aca="false">IFERROR(SUMIFS(Trips!$F$2:$F$2000,Trips!$B$2:$B$2000,$B$8,Trips!$L$2:$L$2000,D37)/DAY(EOMONTH(B37,0)),0)</f>
        <v>0</v>
      </c>
      <c r="M37" s="19" t="n">
        <f aca="false">E37+I37</f>
        <v>360</v>
      </c>
      <c r="N37" s="19" t="n">
        <f aca="false">F37+J37</f>
        <v>868.9</v>
      </c>
      <c r="O37" s="19" t="n">
        <f aca="false">G37+K37</f>
        <v>-508.9</v>
      </c>
      <c r="P37" s="18" t="n">
        <f aca="false">IFERROR(SUMIFS(Trips!$F$2:$F$2000,Trips!$L$2:$L$2000,D37)/(COUNTA(Vehicles!$A$2:$A$50)*DAY(EOMONTH(B37,0))),0)</f>
        <v>0.0666666666666667</v>
      </c>
    </row>
    <row r="38" customFormat="false" ht="15" hidden="false" customHeight="false" outlineLevel="0" collapsed="false">
      <c r="B38" s="28" t="n">
        <f aca="false">EDATE(B37,1)</f>
        <v>46223</v>
      </c>
      <c r="C38" s="16" t="str">
        <f aca="false">TEXT(B38,"mmm-yy")</f>
        <v>Jul-26</v>
      </c>
      <c r="D38" s="16" t="str">
        <f aca="false">TEXT(B38,"yyyy-mm")</f>
        <v>2026-07</v>
      </c>
      <c r="E38" s="19" t="n">
        <f aca="false">SUMIFS(Trips!$H$2:$H$2000,Trips!$B$2:$B$2000,$B$7,Trips!$L$2:$L$2000,D38)</f>
        <v>0</v>
      </c>
      <c r="F38" s="19" t="n">
        <f aca="false">SUMIFS(Expenses!$E$2:$E$2000,Expenses!$B$2:$B$2000,$B$7,Expenses!$F$2:$F$2000,D38)+SUMIFS(Charging!$E$2:$E$2000,Charging!$B$2:$B$2000,$B$7,Charging!$H$2:$H$2000,D38)</f>
        <v>0</v>
      </c>
      <c r="G38" s="19" t="n">
        <f aca="false">E38-F38</f>
        <v>0</v>
      </c>
      <c r="H38" s="18" t="n">
        <f aca="false">IFERROR(SUMIFS(Trips!$F$2:$F$2000,Trips!$B$2:$B$2000,$B$7,Trips!$L$2:$L$2000,D38)/DAY(EOMONTH(B38,0)),0)</f>
        <v>0</v>
      </c>
      <c r="I38" s="19" t="n">
        <f aca="false">SUMIFS(Trips!$H$2:$H$2000,Trips!$B$2:$B$2000,$B$8,Trips!$L$2:$L$2000,D38)</f>
        <v>0</v>
      </c>
      <c r="J38" s="19" t="n">
        <f aca="false">SUMIFS(Expenses!$E$2:$E$2000,Expenses!$B$2:$B$2000,$B$8,Expenses!$F$2:$F$2000,D38)+SUMIFS(Charging!$E$2:$E$2000,Charging!$B$2:$B$2000,$B$8,Charging!$H$2:$H$2000,D38)</f>
        <v>0</v>
      </c>
      <c r="K38" s="19" t="n">
        <f aca="false">I38-J38</f>
        <v>0</v>
      </c>
      <c r="L38" s="18" t="n">
        <f aca="false">IFERROR(SUMIFS(Trips!$F$2:$F$2000,Trips!$B$2:$B$2000,$B$8,Trips!$L$2:$L$2000,D38)/DAY(EOMONTH(B38,0)),0)</f>
        <v>0</v>
      </c>
      <c r="M38" s="19" t="n">
        <f aca="false">E38+I38</f>
        <v>0</v>
      </c>
      <c r="N38" s="19" t="n">
        <f aca="false">F38+J38</f>
        <v>0</v>
      </c>
      <c r="O38" s="19" t="n">
        <f aca="false">G38+K38</f>
        <v>0</v>
      </c>
      <c r="P38" s="18" t="n">
        <f aca="false">IFERROR(SUMIFS(Trips!$F$2:$F$2000,Trips!$L$2:$L$2000,D38)/(COUNTA(Vehicles!$A$2:$A$50)*DAY(EOMONTH(B38,0))),0)</f>
        <v>0</v>
      </c>
    </row>
  </sheetData>
  <mergeCells count="3">
    <mergeCell ref="B4:T4"/>
    <mergeCell ref="B11:F11"/>
    <mergeCell ref="B24:P24"/>
  </mergeCells>
  <conditionalFormatting sqref="E13:E2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0">
      <formula>"Healthy"</formula>
    </cfRule>
    <cfRule type="cellIs" priority="4" operator="equal" aboveAverage="0" equalAverage="0" bottom="0" percent="0" rank="0" text="" dxfId="1">
      <formula>"Renew Soon"</formula>
    </cfRule>
    <cfRule type="cellIs" priority="5" operator="equal" aboveAverage="0" equalAverage="0" bottom="0" percent="0" rank="0" text="" dxfId="1">
      <formula>"Due Soon"</formula>
    </cfRule>
    <cfRule type="cellIs" priority="6" operator="equal" aboveAverage="0" equalAverage="0" bottom="0" percent="0" rank="0" text="" dxfId="1">
      <formula>"Low Utilization"</formula>
    </cfRule>
    <cfRule type="cellIs" priority="7" operator="equal" aboveAverage="0" equalAverage="0" bottom="0" percent="0" rank="0" text="" dxfId="1">
      <formula>"Thin Margin"</formula>
    </cfRule>
    <cfRule type="cellIs" priority="8" operator="equal" aboveAverage="0" equalAverage="0" bottom="0" percent="0" rank="0" text="" dxfId="2">
      <formula>"Losing Money"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2026-07-20T01:12:31Z</dcterms:created>
  <dc:creator>openpyxl</dc:creator>
  <dc:description/>
  <dc:language>en-US</dc:language>
  <cp:lastModifiedBy/>
  <dcterms:modified xsi:type="dcterms:W3CDTF">2026-07-20T01:12:33Z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